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E_BAI_BAI_TAP" sheetId="1" state="visible" r:id="rId1"/>
    <sheet xmlns:r="http://schemas.openxmlformats.org/officeDocument/2006/relationships" name="2_DATA_DA_NEN_TANG" sheetId="2" state="visible" r:id="rId2"/>
    <sheet xmlns:r="http://schemas.openxmlformats.org/officeDocument/2006/relationships" name="3_DATA_HANH_CHINH_DU_AN" sheetId="3" state="visible" r:id="rId3"/>
    <sheet xmlns:r="http://schemas.openxmlformats.org/officeDocument/2006/relationships" name="4_BANG_THAM_CHIEU_KPI" sheetId="4" state="visible" r:id="rId4"/>
    <sheet xmlns:r="http://schemas.openxmlformats.org/officeDocument/2006/relationships" name="5_DASHBOARD_MAU_THAM_KHAO" sheetId="5" state="visible" r:id="rId5"/>
  </sheets>
  <definedNames>
    <definedName name="_xlnm._FilterDatabase" localSheetId="1" hidden="1">'2_DATA_DA_NEN_TANG'!$A$3:$T$503</definedName>
    <definedName name="_xlnm._FilterDatabase" localSheetId="2" hidden="1">'3_DATA_HANH_CHINH_DU_AN'!$A$3:$R$183</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0">
    <font>
      <name val="Calibri"/>
      <family val="2"/>
      <color theme="1"/>
      <sz val="11"/>
      <scheme val="minor"/>
    </font>
    <font>
      <name val="Arial"/>
      <b val="1"/>
      <color rgb="00FFFFFF"/>
      <sz val="14"/>
    </font>
    <font>
      <name val="Arial"/>
      <i val="1"/>
      <color rgb="00555555"/>
      <sz val="9"/>
    </font>
    <font>
      <name val="Arial"/>
      <b val="1"/>
      <color rgb="00FFFFFF"/>
      <sz val="11"/>
    </font>
    <font>
      <name val="Arial"/>
      <b val="1"/>
      <color rgb="00212529"/>
      <sz val="10"/>
    </font>
    <font>
      <name val="Arial"/>
      <color rgb="00212529"/>
      <sz val="10"/>
    </font>
    <font>
      <name val="Arial"/>
      <b val="1"/>
      <color rgb="00FFFFFF"/>
      <sz val="10"/>
    </font>
    <font>
      <name val="Arial"/>
      <b val="1"/>
      <color rgb="001B365D"/>
      <sz val="10"/>
    </font>
    <font>
      <name val="Arial"/>
      <b val="1"/>
      <color rgb="00FFFFFF"/>
      <sz val="9"/>
    </font>
    <font>
      <name val="Arial"/>
      <b val="1"/>
      <color rgb="001B365D"/>
      <sz val="14"/>
    </font>
  </fonts>
  <fills count="10">
    <fill>
      <patternFill/>
    </fill>
    <fill>
      <patternFill patternType="gray125"/>
    </fill>
    <fill>
      <patternFill patternType="solid">
        <fgColor rgb="001B365D"/>
        <bgColor rgb="001B365D"/>
      </patternFill>
    </fill>
    <fill>
      <patternFill patternType="solid">
        <fgColor rgb="004A6583"/>
        <bgColor rgb="004A6583"/>
      </patternFill>
    </fill>
    <fill>
      <patternFill patternType="solid">
        <fgColor rgb="00F4F6F9"/>
        <bgColor rgb="00F4F6F9"/>
      </patternFill>
    </fill>
    <fill>
      <patternFill patternType="solid">
        <fgColor rgb="00008080"/>
        <bgColor rgb="00008080"/>
      </patternFill>
    </fill>
    <fill>
      <patternFill patternType="solid">
        <fgColor rgb="00E6F2F2"/>
        <bgColor rgb="00E6F2F2"/>
      </patternFill>
    </fill>
    <fill>
      <patternFill patternType="solid">
        <fgColor rgb="00F9FAFC"/>
        <bgColor rgb="00F9FAFC"/>
      </patternFill>
    </fill>
    <fill>
      <patternFill patternType="solid">
        <fgColor rgb="00E2E8F0"/>
        <bgColor rgb="00E2E8F0"/>
      </patternFill>
    </fill>
    <fill>
      <patternFill patternType="solid">
        <fgColor rgb="00FFF3CD"/>
        <bgColor rgb="00FFF3CD"/>
      </patternFill>
    </fill>
  </fills>
  <borders count="4">
    <border>
      <left/>
      <right/>
      <top/>
      <bottom/>
      <diagonal/>
    </border>
    <border>
      <left style="thin">
        <color rgb="00D9E1E8"/>
      </left>
      <right style="thin">
        <color rgb="00D9E1E8"/>
      </right>
      <top style="thin">
        <color rgb="00D9E1E8"/>
      </top>
      <bottom style="thin">
        <color rgb="00D9E1E8"/>
      </bottom>
    </border>
    <border>
      <left style="thin">
        <color rgb="00D9E1E8"/>
      </left>
      <right style="thin">
        <color rgb="00D9E1E8"/>
      </right>
      <top style="thin">
        <color rgb="00D9E1E8"/>
      </top>
      <bottom style="medium">
        <color rgb="001B365D"/>
      </bottom>
    </border>
    <border>
      <left style="thin">
        <color rgb="00D9E1E8"/>
      </left>
      <right style="thin">
        <color rgb="00D9E1E8"/>
      </right>
      <top style="thin">
        <color rgb="00D9E1E8"/>
      </top>
      <bottom style="double">
        <color rgb="001B365D"/>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pivotButton="0" quotePrefix="0" xfId="0"/>
    <xf numFmtId="0" fontId="3" fillId="5" borderId="0" applyAlignment="1" pivotButton="0" quotePrefix="0" xfId="0">
      <alignment horizontal="left" vertical="center" wrapText="1"/>
    </xf>
    <xf numFmtId="0" fontId="4" fillId="6" borderId="1" applyAlignment="1" pivotButton="0" quotePrefix="0" xfId="0">
      <alignment horizontal="left" vertical="center" wrapText="1"/>
    </xf>
    <xf numFmtId="0" fontId="6" fillId="3" borderId="2" applyAlignment="1" pivotButton="0" quotePrefix="0" xfId="0">
      <alignment horizontal="center" vertical="center" wrapText="1"/>
    </xf>
    <xf numFmtId="0"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3" fontId="5" fillId="0" borderId="1" applyAlignment="1" pivotButton="0" quotePrefix="0" xfId="0">
      <alignment horizontal="right" vertical="center" wrapText="1"/>
    </xf>
    <xf numFmtId="166" fontId="5" fillId="0" borderId="1" applyAlignment="1" pivotButton="0" quotePrefix="0" xfId="0">
      <alignment horizontal="right" vertical="center" wrapText="1"/>
    </xf>
    <xf numFmtId="0" fontId="5" fillId="7" borderId="1" applyAlignment="1" pivotButton="0" quotePrefix="0" xfId="0">
      <alignment horizontal="center" vertical="center" wrapText="1"/>
    </xf>
    <xf numFmtId="165"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3" fontId="5" fillId="7" borderId="1" applyAlignment="1" pivotButton="0" quotePrefix="0" xfId="0">
      <alignment horizontal="right" vertical="center" wrapText="1"/>
    </xf>
    <xf numFmtId="166" fontId="5" fillId="7" borderId="1" applyAlignment="1" pivotButton="0" quotePrefix="0" xfId="0">
      <alignment horizontal="right" vertical="center" wrapText="1"/>
    </xf>
    <xf numFmtId="0" fontId="4" fillId="8" borderId="3" applyAlignment="1" pivotButton="0" quotePrefix="0" xfId="0">
      <alignment horizontal="center" vertical="center" wrapText="1"/>
    </xf>
    <xf numFmtId="0" fontId="4" fillId="8" borderId="3" pivotButton="0" quotePrefix="0" xfId="0"/>
    <xf numFmtId="3" fontId="4" fillId="8" borderId="3" pivotButton="0" quotePrefix="0" xfId="0"/>
    <xf numFmtId="166" fontId="4" fillId="8" borderId="3" pivotButton="0" quotePrefix="0" xfId="0"/>
    <xf numFmtId="0" fontId="6" fillId="5" borderId="2" applyAlignment="1" pivotButton="0" quotePrefix="0" xfId="0">
      <alignment horizontal="center" vertical="center" wrapText="1"/>
    </xf>
    <xf numFmtId="0" fontId="3" fillId="3" borderId="0" pivotButton="0" quotePrefix="0" xfId="0"/>
    <xf numFmtId="0" fontId="6" fillId="2" borderId="2" applyAlignment="1" pivotButton="0" quotePrefix="0" xfId="0">
      <alignment horizontal="center" vertical="center" wrapText="1"/>
    </xf>
    <xf numFmtId="9" fontId="5" fillId="0" borderId="1" applyAlignment="1" pivotButton="0" quotePrefix="0" xfId="0">
      <alignment horizontal="right" vertical="center" wrapText="1"/>
    </xf>
    <xf numFmtId="0" fontId="3" fillId="5" borderId="0" pivotButton="0" quotePrefix="0" xfId="0"/>
    <xf numFmtId="0" fontId="4" fillId="4" borderId="1" pivotButton="0" quotePrefix="0" xfId="0"/>
    <xf numFmtId="0" fontId="7" fillId="9" borderId="1" applyAlignment="1" pivotButton="0" quotePrefix="0" xfId="0">
      <alignment horizontal="center" vertical="center" wrapText="1"/>
    </xf>
    <xf numFmtId="0" fontId="4" fillId="0" borderId="0" applyAlignment="1" pivotButton="0" quotePrefix="0" xfId="0">
      <alignment horizontal="right" vertical="center" wrapText="1"/>
    </xf>
    <xf numFmtId="3" fontId="4" fillId="0" borderId="1" pivotButton="0" quotePrefix="0" xfId="0"/>
    <xf numFmtId="0" fontId="8" fillId="2"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3" borderId="1" applyAlignment="1" pivotButton="0" quotePrefix="0" xfId="0">
      <alignment horizontal="center" vertical="center" wrapText="1"/>
    </xf>
    <xf numFmtId="3" fontId="9" fillId="4" borderId="1" applyAlignment="1" pivotButton="0" quotePrefix="0" xfId="0">
      <alignment horizontal="center" vertical="center" wrapText="1"/>
    </xf>
    <xf numFmtId="166" fontId="9" fillId="4" borderId="1" applyAlignment="1" pivotButton="0" quotePrefix="0" xfId="0">
      <alignment horizontal="center" vertical="center" wrapText="1"/>
    </xf>
    <xf numFmtId="0" fontId="6" fillId="2" borderId="0" pivotButton="0" quotePrefix="0" xfId="0"/>
    <xf numFmtId="0" fontId="6" fillId="5" borderId="0" pivotButton="0" quotePrefix="0" xfId="0"/>
    <xf numFmtId="0" fontId="4" fillId="0" borderId="1" pivotButton="0" quotePrefix="0" xfId="0"/>
    <xf numFmtId="0" fontId="4" fillId="0" borderId="1" applyAlignment="1" pivotButton="0" quotePrefix="0" xfId="0">
      <alignment horizontal="center" vertical="center" wrapText="1"/>
    </xf>
  </cellXfs>
  <cellStyles count="1">
    <cellStyle name="Normal" xfId="0" builtinId="0" hidden="0"/>
  </cellStyles>
  <dxfs count="3">
    <dxf>
      <font>
        <name val="Arial"/>
        <b val="1"/>
        <color rgb="00155724"/>
        <sz val="10"/>
      </font>
      <fill>
        <patternFill patternType="solid">
          <fgColor rgb="00D4EDDA"/>
          <bgColor rgb="00D4EDDA"/>
        </patternFill>
      </fill>
    </dxf>
    <dxf>
      <font>
        <name val="Arial"/>
        <b val="1"/>
        <color rgb="00721C24"/>
        <sz val="10"/>
      </font>
      <fill>
        <patternFill patternType="solid">
          <fgColor rgb="00F8D7DA"/>
          <bgColor rgb="00F8D7DA"/>
        </patternFill>
      </fill>
    </dxf>
    <dxf>
      <font>
        <name val="Arial"/>
        <color rgb="00856404"/>
        <sz val="10"/>
      </font>
      <fill>
        <patternFill patternType="solid">
          <fgColor rgb="00FFF3CD"/>
          <b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So sánh Chi phí SX &amp; Doanh thu theo Nền tảng (VNĐ)</a:t>
            </a:r>
          </a:p>
        </rich>
      </tx>
    </title>
    <plotArea>
      <barChart>
        <barDir val="col"/>
        <grouping val="clustered"/>
        <ser>
          <idx val="0"/>
          <order val="0"/>
          <tx>
            <strRef>
              <f>'5_DASHBOARD_MAU_THAM_KHAO'!E12</f>
            </strRef>
          </tx>
          <spPr>
            <a:ln xmlns:a="http://schemas.openxmlformats.org/drawingml/2006/main">
              <a:prstDash val="solid"/>
            </a:ln>
          </spPr>
          <cat>
            <numRef>
              <f>'5_DASHBOARD_MAU_THAM_KHAO'!$B$13:$B$17</f>
            </numRef>
          </cat>
          <val>
            <numRef>
              <f>'5_DASHBOARD_MAU_THAM_KHAO'!$E$13:$E$17</f>
            </numRef>
          </val>
        </ser>
        <ser>
          <idx val="1"/>
          <order val="1"/>
          <tx>
            <strRef>
              <f>'5_DASHBOARD_MAU_THAM_KHAO'!F12</f>
            </strRef>
          </tx>
          <spPr>
            <a:ln xmlns:a="http://schemas.openxmlformats.org/drawingml/2006/main">
              <a:prstDash val="solid"/>
            </a:ln>
          </spPr>
          <cat>
            <numRef>
              <f>'5_DASHBOARD_MAU_THAM_KHAO'!$B$13:$B$17</f>
            </numRef>
          </cat>
          <val>
            <numRef>
              <f>'5_DASHBOARD_MAU_THAM_KHAO'!$F$13:$F$17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Nền tảng</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VNĐ</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Xu hướng Doanh thu Đa nền tảng &amp; Giải ngân Dự án (6 Tháng 2026)</a:t>
            </a:r>
          </a:p>
        </rich>
      </tx>
    </title>
    <plotArea>
      <lineChart>
        <grouping val="standard"/>
        <ser>
          <idx val="0"/>
          <order val="0"/>
          <tx>
            <strRef>
              <f>'5_DASHBOARD_MAU_THAM_KHAO'!K12</f>
            </strRef>
          </tx>
          <spPr>
            <a:ln xmlns:a="http://schemas.openxmlformats.org/drawingml/2006/main">
              <a:prstDash val="solid"/>
            </a:ln>
          </spPr>
          <marker>
            <symbol val="none"/>
            <spPr>
              <a:ln xmlns:a="http://schemas.openxmlformats.org/drawingml/2006/main">
                <a:prstDash val="solid"/>
              </a:ln>
            </spPr>
          </marker>
          <cat>
            <numRef>
              <f>'5_DASHBOARD_MAU_THAM_KHAO'!$I$13:$I$18</f>
            </numRef>
          </cat>
          <val>
            <numRef>
              <f>'5_DASHBOARD_MAU_THAM_KHAO'!$K$13:$K$18</f>
            </numRef>
          </val>
        </ser>
        <ser>
          <idx val="1"/>
          <order val="1"/>
          <tx>
            <strRef>
              <f>'5_DASHBOARD_MAU_THAM_KHAO'!L12</f>
            </strRef>
          </tx>
          <spPr>
            <a:ln xmlns:a="http://schemas.openxmlformats.org/drawingml/2006/main">
              <a:prstDash val="solid"/>
            </a:ln>
          </spPr>
          <marker>
            <symbol val="none"/>
            <spPr>
              <a:ln xmlns:a="http://schemas.openxmlformats.org/drawingml/2006/main">
                <a:prstDash val="solid"/>
              </a:ln>
            </spPr>
          </marker>
          <cat>
            <numRef>
              <f>'5_DASHBOARD_MAU_THAM_KHAO'!$I$13:$I$18</f>
            </numRef>
          </cat>
          <val>
            <numRef>
              <f>'5_DASHBOARD_MAU_THAM_KHAO'!$L$13:$L$18</f>
            </numRef>
          </val>
        </ser>
        <axId val="10"/>
        <axId val="100"/>
      </lineChart>
      <catAx>
        <axId val="10"/>
        <scaling>
          <orientation val="minMax"/>
        </scaling>
        <axPos val="l"/>
        <title>
          <tx>
            <rich>
              <a:bodyPr xmlns:a="http://schemas.openxmlformats.org/drawingml/2006/main"/>
              <a:p xmlns:a="http://schemas.openxmlformats.org/drawingml/2006/main">
                <a:pPr>
                  <a:defRPr/>
                </a:pPr>
                <a:r>
                  <a:t>Tháng</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VNĐ</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26</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26</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H28"/>
  <sheetViews>
    <sheetView showGridLines="1" workbookViewId="0">
      <selection activeCell="A1" sqref="A1"/>
    </sheetView>
  </sheetViews>
  <sheetFormatPr baseColWidth="8" defaultRowHeight="15"/>
  <cols>
    <col width="4" customWidth="1" min="1" max="1"/>
    <col width="38" customWidth="1" min="2" max="2"/>
    <col width="18" customWidth="1" min="3" max="3"/>
    <col width="18" customWidth="1" min="4" max="4"/>
    <col width="18" customWidth="1" min="5" max="5"/>
    <col width="18" customWidth="1" min="6" max="6"/>
    <col width="18" customWidth="1" min="7" max="7"/>
    <col width="18" customWidth="1" min="8" max="8"/>
  </cols>
  <sheetData>
    <row r="2" ht="24" customHeight="1">
      <c r="B2" s="1" t="inlineStr">
        <is>
          <t>BÀI TẬP THỰC HÀNH: XÂY DỰNG DASHBOARD BÁO CÁO ĐIỀU HÀNH
(Dành cho Học viên các lớp Báo chí Đa nền tảng, Quản trị Văn phòng &amp; Phân tích Dữ liệu AI)</t>
        </is>
      </c>
    </row>
    <row r="3" ht="24" customHeight="1"/>
    <row r="4" ht="22" customHeight="1">
      <c r="B4" s="2" t="inlineStr">
        <is>
          <t>Giảng viên hướng dẫn: Nhà báo Đặng Sinh | Thời gian hoàn thành: 60 - 90 phút | Công cụ: Excel / Google Sheets / Looker Studio / Power BI / AI Canvas</t>
        </is>
      </c>
    </row>
    <row r="6" ht="24" customHeight="1">
      <c r="B6" s="3" t="inlineStr">
        <is>
          <t>I. BỐI CẢNH NGHIỆP VỤ (SCENARIO)</t>
        </is>
      </c>
    </row>
    <row r="7" ht="36" customHeight="1">
      <c r="B7" s="4" t="inlineStr">
        <is>
          <t>Kịch bản 1 - Quản trị Tòa soạn Đa nền tảng (Sheet 2):</t>
        </is>
      </c>
      <c r="C7" s="5" t="inlineStr">
        <is>
          <t>Bạn là Trưởng phòng Phân tích dữ liệu của một cơ quan báo chí - truyền thông đa nền tảng. Ban Biên tập yêu cầu một Dashboard theo dõi hiệu suất của 500 sản phẩm nội dung (YouTube, TikTok, Báo điện tử, Podcast, Facebook) trong 6 tháng đầu năm 2026 để đánh giá KPI các Ban chuyên môn, tỷ lệ sản xuất có ứng dụng AI và hiệu quả doanh thu quảng cáo.</t>
        </is>
      </c>
      <c r="D7" s="6" t="n"/>
      <c r="E7" s="6" t="n"/>
      <c r="F7" s="6" t="n"/>
      <c r="G7" s="6" t="n"/>
      <c r="H7" s="6" t="n"/>
    </row>
    <row r="8" ht="36" customHeight="1">
      <c r="B8" s="4" t="inlineStr">
        <is>
          <t>Kịch bản 2 - Quản trị Hành chính, Dự án &amp; Ngân sách (Sheet 3):</t>
        </is>
      </c>
      <c r="C8" s="5" t="inlineStr">
        <is>
          <t>Bạn là Chánh Văn phòng / Chuyên viên Tổng hợp của một Tập đoàn hoặc Cơ quan hành chính. Lãnh đạo đơn vị cần một Dashboard điều hành theo dõi 180 hạng mục công việc, dự án chuyển đổi số, giải ngân ngân sách và xử lý hồ sơ văn bản tại 6 phòng ban để phát hiện ngay các điểm nghẽn (quá hạn, vượt định mức ngân sách, tồn đọng hồ sơ).</t>
        </is>
      </c>
      <c r="D8" s="6" t="n"/>
      <c r="E8" s="6" t="n"/>
      <c r="F8" s="6" t="n"/>
      <c r="G8" s="6" t="n"/>
      <c r="H8" s="6" t="n"/>
    </row>
    <row r="9" ht="36" customHeight="1">
      <c r="B9" s="4" t="inlineStr">
        <is>
          <t>Hình thức lựa chọn:</t>
        </is>
      </c>
      <c r="C9" s="5" t="inlineStr">
        <is>
          <t>Học viên có thể chọn 1 trong 2 kịch bản (hoặc kết hợp cả hai theo yêu cầu của Giảng viên) để thiết kế Dashboard báo cáo chỉ trên 1 màn hình duy nhất (One-Page Executive Dashboard).</t>
        </is>
      </c>
      <c r="D9" s="6" t="n"/>
      <c r="E9" s="6" t="n"/>
      <c r="F9" s="6" t="n"/>
      <c r="G9" s="6" t="n"/>
      <c r="H9" s="6" t="n"/>
    </row>
    <row r="11" ht="24" customHeight="1">
      <c r="B11" s="3" t="inlineStr">
        <is>
          <t>II. YÊU CẦU KỸ THUẬT CẦN ĐẠT ĐƯỢC (DELIVERABLES)</t>
        </is>
      </c>
    </row>
    <row r="12" ht="36" customHeight="1">
      <c r="B12" s="4" t="inlineStr">
        <is>
          <t>1. Khối Chỉ số Tổng quan (KPI Cards):</t>
        </is>
      </c>
      <c r="C12" s="5" t="inlineStr">
        <is>
          <t>Thiết kế tối thiểu 4 - 6 thẻ KPI ở đầu trang hiển thị các con số cốt lõi (VD: Tổng Lượt xem, Tổng Doanh thu, Tỷ lệ đạt KPI %, Tỷ lệ ứng dụng AI %; hoặc Tổng Ngân sách, Tỷ lệ giải ngân %, Tỷ lệ hồ sơ đúng hạn %, Số dự án Quá hạn). Có so sánh % tăng/giảm so với tháng trước hoặc kế hoạch.</t>
        </is>
      </c>
      <c r="D12" s="6" t="n"/>
      <c r="E12" s="6" t="n"/>
      <c r="F12" s="6" t="n"/>
      <c r="G12" s="6" t="n"/>
      <c r="H12" s="6" t="n"/>
    </row>
    <row r="13" ht="36" customHeight="1">
      <c r="B13" s="4" t="inlineStr">
        <is>
          <t>2. Khối Biểu đồ Xu hướng (Trend Analysis):</t>
        </is>
      </c>
      <c r="C13" s="5" t="inlineStr">
        <is>
          <t>Vẽ biểu đồ đường (Line Chart) hoặc vùng (Area Chart) thể hiện biến động theo chuỗi thời gian (Tháng 01/2026 -&gt; Tháng 06/2026) của Lượt xem/Doanh thu hoặc Tiến độ giải ngân/Khối lượng hồ sơ.</t>
        </is>
      </c>
      <c r="D13" s="6" t="n"/>
      <c r="E13" s="6" t="n"/>
      <c r="F13" s="6" t="n"/>
      <c r="G13" s="6" t="n"/>
      <c r="H13" s="6" t="n"/>
    </row>
    <row r="14" ht="36" customHeight="1">
      <c r="B14" s="4" t="inlineStr">
        <is>
          <t>3. Khối Biểu đồ Cơ cấu &amp; So sánh (Structure &amp; Comparison):</t>
        </is>
      </c>
      <c r="C14" s="5" t="inlineStr">
        <is>
          <t>Vẽ biểu đồ cột ngang/dọc (Bar/Column Chart) và biểu đồ tròn/vành khuyên (Donut Chart) để so sánh hiệu suất giữa các Nền tảng (TikTok, YouTube, Web...), các Phòng ban/Ban chuyên môn, và phân bổ chi phí.</t>
        </is>
      </c>
      <c r="D14" s="6" t="n"/>
      <c r="E14" s="6" t="n"/>
      <c r="F14" s="6" t="n"/>
      <c r="G14" s="6" t="n"/>
      <c r="H14" s="6" t="n"/>
    </row>
    <row r="15" ht="36" customHeight="1">
      <c r="B15" s="4" t="inlineStr">
        <is>
          <t>4. Khối Cảnh báo &amp; Tương tác (Interactive Filters &amp; Alerts):</t>
        </is>
      </c>
      <c r="C15" s="5" t="inlineStr">
        <is>
          <t>Tích hợp bộ lọc động (Slicer / Dropdown) theo Tháng, Phòng ban, Nền tảng hoặc Trạng thái. Lập bảng Top 5 sản phẩm xuất sắc nhất hoặc Danh sách các hạng mục 'Quá hạn / Vượt ngân sách' có tô màu cảnh báo tự động (Conditional Formatting).</t>
        </is>
      </c>
      <c r="D15" s="6" t="n"/>
      <c r="E15" s="6" t="n"/>
      <c r="F15" s="6" t="n"/>
      <c r="G15" s="6" t="n"/>
      <c r="H15" s="6" t="n"/>
    </row>
    <row r="16" ht="36" customHeight="1">
      <c r="B16" s="4" t="inlineStr">
        <is>
          <t>5. Nhận xét &amp; Đề xuất Tham mưu (AI Insights):</t>
        </is>
      </c>
      <c r="C16" s="5" t="inlineStr">
        <is>
          <t>Từ Dashboard đã dựng, viết 3 gạch đầu dòng nhận xét sắc bén theo cấu trúc MECE (Hiện trạng -&gt; Nguyên nhân gốc rễ -&gt; Giải pháp điều hành tháng tới).</t>
        </is>
      </c>
      <c r="D16" s="6" t="n"/>
      <c r="E16" s="6" t="n"/>
      <c r="F16" s="6" t="n"/>
      <c r="G16" s="6" t="n"/>
      <c r="H16" s="6" t="n"/>
    </row>
    <row r="18" ht="24" customHeight="1">
      <c r="B18" s="3" t="inlineStr">
        <is>
          <t>III. TIÊU CHÍ CHẤM ĐIỂM (GRADING RUBRIC - THANG ĐIỂM 100)</t>
        </is>
      </c>
    </row>
    <row r="19" ht="36" customHeight="1">
      <c r="B19" s="4" t="inlineStr">
        <is>
          <t>1. Tính chính xác của dữ liệu (30 điểm):</t>
        </is>
      </c>
      <c r="C19" s="5" t="inlineStr">
        <is>
          <t>Tổng hợp đúng bằng PivotTable / Hàm (SUMIFS, COUNTIFS, AVERAGEIFS, XLOOKUP), không sai lệch số liệu gốc, xử lý đúng đơn vị tính (Triệu VNĐ, %).</t>
        </is>
      </c>
      <c r="D19" s="6" t="n"/>
      <c r="E19" s="6" t="n"/>
      <c r="F19" s="6" t="n"/>
      <c r="G19" s="6" t="n"/>
      <c r="H19" s="6" t="n"/>
    </row>
    <row r="20" ht="36" customHeight="1">
      <c r="B20" s="4" t="inlineStr">
        <is>
          <t>2. Tư duy chọn biểu đồ &amp; Bố cục MECE (30 điểm):</t>
        </is>
      </c>
      <c r="C20" s="5" t="inlineStr">
        <is>
          <t>Chọn đúng loại biểu đồ cho từng bản chất dữ liệu; bố cục phân tầng từ Tổng quan (KPIs) -&gt; Chi tiết (Charts) -&gt; Hành động (Actionable Table); không nhồi nhét rối mắt.</t>
        </is>
      </c>
      <c r="D20" s="6" t="n"/>
      <c r="E20" s="6" t="n"/>
      <c r="F20" s="6" t="n"/>
      <c r="G20" s="6" t="n"/>
      <c r="H20" s="6" t="n"/>
    </row>
    <row r="21" ht="36" customHeight="1">
      <c r="B21" s="4" t="inlineStr">
        <is>
          <t>3. Thẩm mỹ &amp; Trải nghiệm tương tác (20 điểm):</t>
        </is>
      </c>
      <c r="C21" s="5" t="inlineStr">
        <is>
          <t>Phối màu đồng nhất (tối đa 3-4 tông màu chủ đạo), căn lề chuẩn, có Slicer/Filter hoạt động mượt mà.</t>
        </is>
      </c>
      <c r="D21" s="6" t="n"/>
      <c r="E21" s="6" t="n"/>
      <c r="F21" s="6" t="n"/>
      <c r="G21" s="6" t="n"/>
      <c r="H21" s="6" t="n"/>
    </row>
    <row r="22" ht="36" customHeight="1">
      <c r="B22" s="4" t="inlineStr">
        <is>
          <t>4. Giá trị tham mưu điều hành (20 điểm):</t>
        </is>
      </c>
      <c r="C22" s="5" t="inlineStr">
        <is>
          <t>Phát hiện được các 'Insight ẩn' đã cài cắm trong bộ dữ liệu giả lập (VD: Nền tảng nào chi phí thấp nhưng ROI cao nhất? Phòng ban nào hay trễ hạn nhất? Ứng dụng AI giúp giảm bao nhiêu % chi phí?).</t>
        </is>
      </c>
      <c r="D22" s="6" t="n"/>
      <c r="E22" s="6" t="n"/>
      <c r="F22" s="6" t="n"/>
      <c r="G22" s="6" t="n"/>
      <c r="H22" s="6" t="n"/>
    </row>
    <row r="24" ht="24" customHeight="1">
      <c r="B24" s="7" t="inlineStr">
        <is>
          <t>IV. CÁC 'INSIGHT ẨN' ĐÃ CÀI CẮM TRONG DỮ LIỆU (DÀNH CHO GIẢNG VIÊN KIỂM CHỨNG KHI CHẤM BÀI)</t>
        </is>
      </c>
    </row>
    <row r="25" ht="32" customHeight="1">
      <c r="B25" s="8" t="inlineStr">
        <is>
          <t>Insight 1 (Đa nền tảng - Hiệu quả AI):</t>
        </is>
      </c>
      <c r="C25" s="5" t="inlineStr">
        <is>
          <t>Các sản phẩm có 'Mức độ ứng dụng AI' = 'Toàn trình (70%)' hoặc 'Hỗ trợ sâu (40%)' có Chi phí sản xuất thấp hơn trung bình ~28% nhưng Tỷ lệ giữ chân (Retention Rate) và ROI lại cao hơn nhóm Thủ công.</t>
        </is>
      </c>
      <c r="D25" s="6" t="n"/>
      <c r="E25" s="6" t="n"/>
      <c r="F25" s="6" t="n"/>
      <c r="G25" s="6" t="n"/>
      <c r="H25" s="6" t="n"/>
    </row>
    <row r="26" ht="32" customHeight="1">
      <c r="B26" s="8" t="inlineStr">
        <is>
          <t>Insight 2 (Đa nền tảng - Kênh &amp; Chuyên mục):</t>
        </is>
      </c>
      <c r="C26" s="5" t="inlineStr">
        <is>
          <t>TikTok và YouTube Shorts dẫn đầu về Lượt xem (Views), nhưng YouTube Long-form và Chuyên đề Phóng sự Điều tra / Kinh tế Vĩ mô mới là nguồn mang lại Doanh thu Quảng cáo &amp; Tài trợ cao nhất.</t>
        </is>
      </c>
      <c r="D26" s="6" t="n"/>
      <c r="E26" s="6" t="n"/>
      <c r="F26" s="6" t="n"/>
      <c r="G26" s="6" t="n"/>
      <c r="H26" s="6" t="n"/>
    </row>
    <row r="27" ht="32" customHeight="1">
      <c r="B27" s="8" t="inlineStr">
        <is>
          <t>Insight 3 (Hành chính &amp; Dự án - Điểm nghẽn):</t>
        </is>
      </c>
      <c r="C27" s="5" t="inlineStr">
        <is>
          <t>Khối Kỹ thuật &amp; Hạ tầng số chiếm ngân sách lớn nhất nhưng tỷ lệ giải ngân chậm vào Quý 1; trong khi Phòng Hành chính - Tổng hợp có số lượng hồ sơ lớn nhất và phát sinh tỷ lệ trễ hạn cao ở nhóm công việc 'Thủ công' chưa tự động hóa.</t>
        </is>
      </c>
      <c r="D27" s="6" t="n"/>
      <c r="E27" s="6" t="n"/>
      <c r="F27" s="6" t="n"/>
      <c r="G27" s="6" t="n"/>
      <c r="H27" s="6" t="n"/>
    </row>
    <row r="28" ht="32" customHeight="1">
      <c r="B28" s="8" t="inlineStr">
        <is>
          <t>Insight 4 (Xu hướng thời gian):</t>
        </is>
      </c>
      <c r="C28" s="5" t="inlineStr">
        <is>
          <t>Tháng 03/2026 và Tháng 05/2026 là 2 đỉnh cao điểm cả về lưu lượng truy cập lẫn khối lượng giải ngân dự án trong 6 tháng đầu năm.</t>
        </is>
      </c>
      <c r="D28" s="6" t="n"/>
      <c r="E28" s="6" t="n"/>
      <c r="F28" s="6" t="n"/>
      <c r="G28" s="6" t="n"/>
      <c r="H28" s="6" t="n"/>
    </row>
  </sheetData>
  <mergeCells count="22">
    <mergeCell ref="C25:H25"/>
    <mergeCell ref="C26:H26"/>
    <mergeCell ref="C16:H16"/>
    <mergeCell ref="C22:H22"/>
    <mergeCell ref="C9:H9"/>
    <mergeCell ref="B6:H6"/>
    <mergeCell ref="B24:H24"/>
    <mergeCell ref="B2:H3"/>
    <mergeCell ref="C12:H12"/>
    <mergeCell ref="C21:H21"/>
    <mergeCell ref="C27:H27"/>
    <mergeCell ref="B4:H4"/>
    <mergeCell ref="C8:H8"/>
    <mergeCell ref="C7:H7"/>
    <mergeCell ref="C19:H19"/>
    <mergeCell ref="B18:H18"/>
    <mergeCell ref="C28:H28"/>
    <mergeCell ref="C13:H13"/>
    <mergeCell ref="B11:H11"/>
    <mergeCell ref="C15:H15"/>
    <mergeCell ref="C14:H14"/>
    <mergeCell ref="C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04"/>
  <sheetViews>
    <sheetView showGridLines="1" workbookViewId="0">
      <pane ySplit="3" topLeftCell="A4" activePane="bottomLeft" state="frozen"/>
      <selection pane="bottomLeft" activeCell="A1" sqref="A1"/>
    </sheetView>
  </sheetViews>
  <sheetFormatPr baseColWidth="8" defaultRowHeight="15"/>
  <cols>
    <col width="11" customWidth="1" min="1" max="1"/>
    <col width="14" customWidth="1" min="2" max="2"/>
    <col width="14" customWidth="1" min="3" max="3"/>
    <col width="10" customWidth="1" min="4" max="4"/>
    <col width="26" customWidth="1" min="5" max="5"/>
    <col width="18" customWidth="1" min="6" max="6"/>
    <col width="18" customWidth="1" min="7" max="7"/>
    <col width="25" customWidth="1" min="8" max="8"/>
    <col width="24" customWidth="1" min="9" max="9"/>
    <col width="18" customWidth="1" min="10" max="10"/>
    <col width="15" customWidth="1" min="11" max="11"/>
    <col width="16" customWidth="1" min="12" max="12"/>
    <col width="14" customWidth="1" min="13" max="13"/>
    <col width="16" customWidth="1" min="14" max="14"/>
    <col width="16" customWidth="1" min="15" max="15"/>
    <col width="18" customWidth="1" min="16" max="16"/>
    <col width="20" customWidth="1" min="17" max="17"/>
    <col width="18" customWidth="1" min="18" max="18"/>
    <col width="12" customWidth="1" min="19" max="19"/>
    <col width="16" customWidth="1" min="20" max="20"/>
  </cols>
  <sheetData>
    <row r="1" ht="20" customHeight="1">
      <c r="A1" s="1" t="inlineStr">
        <is>
          <t>BỘ DỮ LIỆU 1: BÁO CÁO HIỆU SUẤT SẢN PHẨM TRUYỀN THÔNG ĐA NỀN TẢNG (6 THÁNG ĐẦU NĂM 2026 - 500 BẢN GHI)</t>
        </is>
      </c>
    </row>
    <row r="2" ht="20" customHeight="1"/>
    <row r="3" ht="28" customHeight="1">
      <c r="A3" s="9" t="inlineStr">
        <is>
          <t>Mã SP</t>
        </is>
      </c>
      <c r="B3" s="9" t="inlineStr">
        <is>
          <t>Ngày xuất bản</t>
        </is>
      </c>
      <c r="C3" s="9" t="inlineStr">
        <is>
          <t>Tháng</t>
        </is>
      </c>
      <c r="D3" s="9" t="inlineStr">
        <is>
          <t>Quý</t>
        </is>
      </c>
      <c r="E3" s="9" t="inlineStr">
        <is>
          <t>Ban Chuyên môn</t>
        </is>
      </c>
      <c r="F3" s="9" t="inlineStr">
        <is>
          <t>Tác giả / Nhóm SX</t>
        </is>
      </c>
      <c r="G3" s="9" t="inlineStr">
        <is>
          <t>Nền tảng phát hành</t>
        </is>
      </c>
      <c r="H3" s="9" t="inlineStr">
        <is>
          <t>Định dạng (Format)</t>
        </is>
      </c>
      <c r="I3" s="9" t="inlineStr">
        <is>
          <t>Chuyên mục nội dung</t>
        </is>
      </c>
      <c r="J3" s="9" t="inlineStr">
        <is>
          <t>Mức độ ứng dụng AI</t>
        </is>
      </c>
      <c r="K3" s="9" t="inlineStr">
        <is>
          <t>Lượt xem (Views)</t>
        </is>
      </c>
      <c r="L3" s="9" t="inlineStr">
        <is>
          <t>Tương tác (Likes/Shares/Comments)</t>
        </is>
      </c>
      <c r="M3" s="9" t="inlineStr">
        <is>
          <t>Tỷ lệ tương tác (ER %)</t>
        </is>
      </c>
      <c r="N3" s="9" t="inlineStr">
        <is>
          <t>Thời lượng xem TB (Giây)</t>
        </is>
      </c>
      <c r="O3" s="9" t="inlineStr">
        <is>
          <t>Tỷ lệ giữ chân (Retention %)</t>
        </is>
      </c>
      <c r="P3" s="9" t="inlineStr">
        <is>
          <t>Chi phí sản xuất (VNĐ)</t>
        </is>
      </c>
      <c r="Q3" s="9" t="inlineStr">
        <is>
          <t>Doanh thu Quảng cáo &amp; Tài trợ (VNĐ)</t>
        </is>
      </c>
      <c r="R3" s="9" t="inlineStr">
        <is>
          <t>Lợi nhuận ròng (VNĐ)</t>
        </is>
      </c>
      <c r="S3" s="9" t="inlineStr">
        <is>
          <t>ROI (%)</t>
        </is>
      </c>
      <c r="T3" s="9" t="inlineStr">
        <is>
          <t>Đánh giá KPI</t>
        </is>
      </c>
    </row>
    <row r="4">
      <c r="A4" s="10" t="inlineStr">
        <is>
          <t>SP-0001</t>
        </is>
      </c>
      <c r="B4" s="11" t="n">
        <v>46039</v>
      </c>
      <c r="C4" s="10" t="inlineStr">
        <is>
          <t>Tháng 01/2026</t>
        </is>
      </c>
      <c r="D4" s="10" t="inlineStr">
        <is>
          <t>Quý 1</t>
        </is>
      </c>
      <c r="E4" s="5" t="inlineStr">
        <is>
          <t>Ban Công nghệ &amp; AI</t>
        </is>
      </c>
      <c r="F4" s="5" t="inlineStr">
        <is>
          <t>Nhóm Gia Hưng</t>
        </is>
      </c>
      <c r="G4" s="5" t="inlineStr">
        <is>
          <t>Facebook Page</t>
        </is>
      </c>
      <c r="H4" s="5" t="inlineStr">
        <is>
          <t>Facebook Reels</t>
        </is>
      </c>
      <c r="I4" s="5" t="inlineStr">
        <is>
          <t>Công nghệ &amp; AI</t>
        </is>
      </c>
      <c r="J4" s="5" t="inlineStr">
        <is>
          <t>Thủ công (0%)</t>
        </is>
      </c>
      <c r="K4" s="12" t="n">
        <v>251568</v>
      </c>
      <c r="L4" s="12" t="n">
        <v>13257</v>
      </c>
      <c r="M4" s="13">
        <f>L4/K4</f>
        <v/>
      </c>
      <c r="N4" s="12" t="n">
        <v>119</v>
      </c>
      <c r="O4" s="13" t="n">
        <v>0.6175</v>
      </c>
      <c r="P4" s="12" t="n">
        <v>4250000</v>
      </c>
      <c r="Q4" s="12" t="n">
        <v>6350000</v>
      </c>
      <c r="R4" s="12">
        <f>Q4-P4</f>
        <v/>
      </c>
      <c r="S4" s="13">
        <f>(Q4-P4)/P4</f>
        <v/>
      </c>
      <c r="T4" s="10">
        <f>IF(AND(K4&gt;=50000, S4&gt;=0.35), "Vượt KPI", IF(AND(K4&gt;=20000, S4&gt;=0), "Đạt KPI", "Chưa đạt KPI"))</f>
        <v/>
      </c>
    </row>
    <row r="5">
      <c r="A5" s="14" t="inlineStr">
        <is>
          <t>SP-0002</t>
        </is>
      </c>
      <c r="B5" s="15" t="n">
        <v>46082</v>
      </c>
      <c r="C5" s="14" t="inlineStr">
        <is>
          <t>Tháng 03/2026</t>
        </is>
      </c>
      <c r="D5" s="14" t="inlineStr">
        <is>
          <t>Quý 1</t>
        </is>
      </c>
      <c r="E5" s="16" t="inlineStr">
        <is>
          <t>Ban Công nghệ &amp; AI</t>
        </is>
      </c>
      <c r="F5" s="16" t="inlineStr">
        <is>
          <t>Nhóm Tuấn Kiệt</t>
        </is>
      </c>
      <c r="G5" s="16" t="inlineStr">
        <is>
          <t>TikTok</t>
        </is>
      </c>
      <c r="H5" s="16" t="inlineStr">
        <is>
          <t>Short Video (&lt;60s)</t>
        </is>
      </c>
      <c r="I5" s="16" t="inlineStr">
        <is>
          <t>Kinh tế - Thị trường</t>
        </is>
      </c>
      <c r="J5" s="16" t="inlineStr">
        <is>
          <t>Toàn trình (70%)</t>
        </is>
      </c>
      <c r="K5" s="17" t="n">
        <v>1091467</v>
      </c>
      <c r="L5" s="17" t="n">
        <v>76511</v>
      </c>
      <c r="M5" s="18">
        <f>L5/K5</f>
        <v/>
      </c>
      <c r="N5" s="17" t="n">
        <v>48</v>
      </c>
      <c r="O5" s="18" t="n">
        <v>0.5142</v>
      </c>
      <c r="P5" s="17" t="n">
        <v>2400000</v>
      </c>
      <c r="Q5" s="17" t="n">
        <v>7100000</v>
      </c>
      <c r="R5" s="17">
        <f>Q5-P5</f>
        <v/>
      </c>
      <c r="S5" s="18">
        <f>(Q5-P5)/P5</f>
        <v/>
      </c>
      <c r="T5" s="14">
        <f>IF(AND(K5&gt;=50000, S5&gt;=0.35), "Vượt KPI", IF(AND(K5&gt;=20000, S5&gt;=0), "Đạt KPI", "Chưa đạt KPI"))</f>
        <v/>
      </c>
    </row>
    <row r="6">
      <c r="A6" s="10" t="inlineStr">
        <is>
          <t>SP-0003</t>
        </is>
      </c>
      <c r="B6" s="11" t="n">
        <v>46163</v>
      </c>
      <c r="C6" s="10" t="inlineStr">
        <is>
          <t>Tháng 05/2026</t>
        </is>
      </c>
      <c r="D6" s="10" t="inlineStr">
        <is>
          <t>Quý 2</t>
        </is>
      </c>
      <c r="E6" s="5" t="inlineStr">
        <is>
          <t>Ban Video &amp; Truyền hình số</t>
        </is>
      </c>
      <c r="F6" s="5" t="inlineStr">
        <is>
          <t>Nhóm Thu Trang</t>
        </is>
      </c>
      <c r="G6" s="5" t="inlineStr">
        <is>
          <t>TikTok</t>
        </is>
      </c>
      <c r="H6" s="5" t="inlineStr">
        <is>
          <t>TikTok Reel (1-3p)</t>
        </is>
      </c>
      <c r="I6" s="5" t="inlineStr">
        <is>
          <t>Chính sách &amp; Pháp luật</t>
        </is>
      </c>
      <c r="J6" s="5" t="inlineStr">
        <is>
          <t>Hỗ trợ sâu (40%)</t>
        </is>
      </c>
      <c r="K6" s="12" t="n">
        <v>971395</v>
      </c>
      <c r="L6" s="12" t="n">
        <v>88591</v>
      </c>
      <c r="M6" s="13">
        <f>L6/K6</f>
        <v/>
      </c>
      <c r="N6" s="12" t="n">
        <v>19</v>
      </c>
      <c r="O6" s="13" t="n">
        <v>0.6526999999999999</v>
      </c>
      <c r="P6" s="12" t="n">
        <v>1400000</v>
      </c>
      <c r="Q6" s="12" t="n">
        <v>3050000</v>
      </c>
      <c r="R6" s="12">
        <f>Q6-P6</f>
        <v/>
      </c>
      <c r="S6" s="13">
        <f>(Q6-P6)/P6</f>
        <v/>
      </c>
      <c r="T6" s="10">
        <f>IF(AND(K6&gt;=50000, S6&gt;=0.35), "Vượt KPI", IF(AND(K6&gt;=20000, S6&gt;=0), "Đạt KPI", "Chưa đạt KPI"))</f>
        <v/>
      </c>
    </row>
    <row r="7">
      <c r="A7" s="14" t="inlineStr">
        <is>
          <t>SP-0004</t>
        </is>
      </c>
      <c r="B7" s="15" t="n">
        <v>46128</v>
      </c>
      <c r="C7" s="14" t="inlineStr">
        <is>
          <t>Tháng 04/2026</t>
        </is>
      </c>
      <c r="D7" s="14" t="inlineStr">
        <is>
          <t>Quý 2</t>
        </is>
      </c>
      <c r="E7" s="16" t="inlineStr">
        <is>
          <t>Ban Video &amp; Truyền hình số</t>
        </is>
      </c>
      <c r="F7" s="16" t="inlineStr">
        <is>
          <t>Nhóm Quốc Bảo</t>
        </is>
      </c>
      <c r="G7" s="16" t="inlineStr">
        <is>
          <t>YouTube</t>
        </is>
      </c>
      <c r="H7" s="16" t="inlineStr">
        <is>
          <t>YouTube Shorts</t>
        </is>
      </c>
      <c r="I7" s="16" t="inlineStr">
        <is>
          <t>Công nghệ &amp; AI</t>
        </is>
      </c>
      <c r="J7" s="16" t="inlineStr">
        <is>
          <t>Hỗ trợ sâu (40%)</t>
        </is>
      </c>
      <c r="K7" s="17" t="n">
        <v>347538</v>
      </c>
      <c r="L7" s="17" t="n">
        <v>29054</v>
      </c>
      <c r="M7" s="18">
        <f>L7/K7</f>
        <v/>
      </c>
      <c r="N7" s="17" t="n">
        <v>459</v>
      </c>
      <c r="O7" s="18" t="n">
        <v>0.7699</v>
      </c>
      <c r="P7" s="17" t="n">
        <v>8150000</v>
      </c>
      <c r="Q7" s="17" t="n">
        <v>34750000</v>
      </c>
      <c r="R7" s="17">
        <f>Q7-P7</f>
        <v/>
      </c>
      <c r="S7" s="18">
        <f>(Q7-P7)/P7</f>
        <v/>
      </c>
      <c r="T7" s="14">
        <f>IF(AND(K7&gt;=50000, S7&gt;=0.35), "Vượt KPI", IF(AND(K7&gt;=20000, S7&gt;=0), "Đạt KPI", "Chưa đạt KPI"))</f>
        <v/>
      </c>
    </row>
    <row r="8">
      <c r="A8" s="10" t="inlineStr">
        <is>
          <t>SP-0005</t>
        </is>
      </c>
      <c r="B8" s="11" t="n">
        <v>46169</v>
      </c>
      <c r="C8" s="10" t="inlineStr">
        <is>
          <t>Tháng 05/2026</t>
        </is>
      </c>
      <c r="D8" s="10" t="inlineStr">
        <is>
          <t>Quý 2</t>
        </is>
      </c>
      <c r="E8" s="5" t="inlineStr">
        <is>
          <t>Ban Video &amp; Truyền hình số</t>
        </is>
      </c>
      <c r="F8" s="5" t="inlineStr">
        <is>
          <t>Nhóm Đặng Minh</t>
        </is>
      </c>
      <c r="G8" s="5" t="inlineStr">
        <is>
          <t>Báo Điện tử (Web)</t>
        </is>
      </c>
      <c r="H8" s="5" t="inlineStr">
        <is>
          <t>Infographic / Mega Story</t>
        </is>
      </c>
      <c r="I8" s="5" t="inlineStr">
        <is>
          <t>Công nghệ &amp; AI</t>
        </is>
      </c>
      <c r="J8" s="5" t="inlineStr">
        <is>
          <t>Toàn trình (70%)</t>
        </is>
      </c>
      <c r="K8" s="12" t="n">
        <v>678489</v>
      </c>
      <c r="L8" s="12" t="n">
        <v>56993</v>
      </c>
      <c r="M8" s="13">
        <f>L8/K8</f>
        <v/>
      </c>
      <c r="N8" s="12" t="n">
        <v>96</v>
      </c>
      <c r="O8" s="13" t="n">
        <v>0.6723</v>
      </c>
      <c r="P8" s="12" t="n">
        <v>3200000</v>
      </c>
      <c r="Q8" s="12" t="n">
        <v>18400000</v>
      </c>
      <c r="R8" s="12">
        <f>Q8-P8</f>
        <v/>
      </c>
      <c r="S8" s="13">
        <f>(Q8-P8)/P8</f>
        <v/>
      </c>
      <c r="T8" s="10">
        <f>IF(AND(K8&gt;=50000, S8&gt;=0.35), "Vượt KPI", IF(AND(K8&gt;=20000, S8&gt;=0), "Đạt KPI", "Chưa đạt KPI"))</f>
        <v/>
      </c>
    </row>
    <row r="9">
      <c r="A9" s="14" t="inlineStr">
        <is>
          <t>SP-0006</t>
        </is>
      </c>
      <c r="B9" s="15" t="n">
        <v>46066</v>
      </c>
      <c r="C9" s="14" t="inlineStr">
        <is>
          <t>Tháng 02/2026</t>
        </is>
      </c>
      <c r="D9" s="14" t="inlineStr">
        <is>
          <t>Quý 1</t>
        </is>
      </c>
      <c r="E9" s="16" t="inlineStr">
        <is>
          <t>Ban Đời sống - Giới trẻ</t>
        </is>
      </c>
      <c r="F9" s="16" t="inlineStr">
        <is>
          <t>Nhóm Bảo Ngọc</t>
        </is>
      </c>
      <c r="G9" s="16" t="inlineStr">
        <is>
          <t>YouTube</t>
        </is>
      </c>
      <c r="H9" s="16" t="inlineStr">
        <is>
          <t>YouTube Shorts</t>
        </is>
      </c>
      <c r="I9" s="16" t="inlineStr">
        <is>
          <t>Đời sống - Xã hội</t>
        </is>
      </c>
      <c r="J9" s="16" t="inlineStr">
        <is>
          <t>Cơ bản (15%)</t>
        </is>
      </c>
      <c r="K9" s="17" t="n">
        <v>926541</v>
      </c>
      <c r="L9" s="17" t="n">
        <v>47531</v>
      </c>
      <c r="M9" s="18">
        <f>L9/K9</f>
        <v/>
      </c>
      <c r="N9" s="17" t="n">
        <v>193</v>
      </c>
      <c r="O9" s="18" t="n">
        <v>0.6526999999999999</v>
      </c>
      <c r="P9" s="17" t="n">
        <v>2450000</v>
      </c>
      <c r="Q9" s="17" t="n">
        <v>13950000</v>
      </c>
      <c r="R9" s="17">
        <f>Q9-P9</f>
        <v/>
      </c>
      <c r="S9" s="18">
        <f>(Q9-P9)/P9</f>
        <v/>
      </c>
      <c r="T9" s="14">
        <f>IF(AND(K9&gt;=50000, S9&gt;=0.35), "Vượt KPI", IF(AND(K9&gt;=20000, S9&gt;=0), "Đạt KPI", "Chưa đạt KPI"))</f>
        <v/>
      </c>
    </row>
    <row r="10">
      <c r="A10" s="10" t="inlineStr">
        <is>
          <t>SP-0007</t>
        </is>
      </c>
      <c r="B10" s="11" t="n">
        <v>46158</v>
      </c>
      <c r="C10" s="10" t="inlineStr">
        <is>
          <t>Tháng 05/2026</t>
        </is>
      </c>
      <c r="D10" s="10" t="inlineStr">
        <is>
          <t>Quý 2</t>
        </is>
      </c>
      <c r="E10" s="5" t="inlineStr">
        <is>
          <t>Ban Kinh tế - Tài chính</t>
        </is>
      </c>
      <c r="F10" s="5" t="inlineStr">
        <is>
          <t>Nhóm Minh Tuấn</t>
        </is>
      </c>
      <c r="G10" s="5" t="inlineStr">
        <is>
          <t>TikTok</t>
        </is>
      </c>
      <c r="H10" s="5" t="inlineStr">
        <is>
          <t>TikTok Reel (1-3p)</t>
        </is>
      </c>
      <c r="I10" s="5" t="inlineStr">
        <is>
          <t>Tài chính Cá nhân &amp; Đầu tư</t>
        </is>
      </c>
      <c r="J10" s="5" t="inlineStr">
        <is>
          <t>Hỗ trợ sâu (40%)</t>
        </is>
      </c>
      <c r="K10" s="12" t="n">
        <v>412645</v>
      </c>
      <c r="L10" s="12" t="n">
        <v>36972</v>
      </c>
      <c r="M10" s="13">
        <f>L10/K10</f>
        <v/>
      </c>
      <c r="N10" s="12" t="n">
        <v>87</v>
      </c>
      <c r="O10" s="13" t="n">
        <v>0.7048</v>
      </c>
      <c r="P10" s="12" t="n">
        <v>1300000</v>
      </c>
      <c r="Q10" s="12" t="n">
        <v>1000000</v>
      </c>
      <c r="R10" s="12">
        <f>Q10-P10</f>
        <v/>
      </c>
      <c r="S10" s="13">
        <f>(Q10-P10)/P10</f>
        <v/>
      </c>
      <c r="T10" s="10">
        <f>IF(AND(K10&gt;=50000, S10&gt;=0.35), "Vượt KPI", IF(AND(K10&gt;=20000, S10&gt;=0), "Đạt KPI", "Chưa đạt KPI"))</f>
        <v/>
      </c>
    </row>
    <row r="11">
      <c r="A11" s="14" t="inlineStr">
        <is>
          <t>SP-0008</t>
        </is>
      </c>
      <c r="B11" s="15" t="n">
        <v>46159</v>
      </c>
      <c r="C11" s="14" t="inlineStr">
        <is>
          <t>Tháng 05/2026</t>
        </is>
      </c>
      <c r="D11" s="14" t="inlineStr">
        <is>
          <t>Quý 2</t>
        </is>
      </c>
      <c r="E11" s="16" t="inlineStr">
        <is>
          <t>Ban Kinh tế - Tài chính</t>
        </is>
      </c>
      <c r="F11" s="16" t="inlineStr">
        <is>
          <t>Nhóm Lan Hương</t>
        </is>
      </c>
      <c r="G11" s="16" t="inlineStr">
        <is>
          <t>Podcast / Audio</t>
        </is>
      </c>
      <c r="H11" s="16" t="inlineStr">
        <is>
          <t>Podcast Chuyên sâu (20p)</t>
        </is>
      </c>
      <c r="I11" s="16" t="inlineStr">
        <is>
          <t>Tài chính Cá nhân &amp; Đầu tư</t>
        </is>
      </c>
      <c r="J11" s="16" t="inlineStr">
        <is>
          <t>Cơ bản (15%)</t>
        </is>
      </c>
      <c r="K11" s="17" t="n">
        <v>61544</v>
      </c>
      <c r="L11" s="17" t="n">
        <v>1643</v>
      </c>
      <c r="M11" s="18">
        <f>L11/K11</f>
        <v/>
      </c>
      <c r="N11" s="17" t="n">
        <v>333</v>
      </c>
      <c r="O11" s="18" t="n">
        <v>0.5194</v>
      </c>
      <c r="P11" s="17" t="n">
        <v>800000</v>
      </c>
      <c r="Q11" s="17" t="n">
        <v>2500000</v>
      </c>
      <c r="R11" s="17">
        <f>Q11-P11</f>
        <v/>
      </c>
      <c r="S11" s="18">
        <f>(Q11-P11)/P11</f>
        <v/>
      </c>
      <c r="T11" s="14">
        <f>IF(AND(K11&gt;=50000, S11&gt;=0.35), "Vượt KPI", IF(AND(K11&gt;=20000, S11&gt;=0), "Đạt KPI", "Chưa đạt KPI"))</f>
        <v/>
      </c>
    </row>
    <row r="12">
      <c r="A12" s="10" t="inlineStr">
        <is>
          <t>SP-0009</t>
        </is>
      </c>
      <c r="B12" s="11" t="n">
        <v>46082</v>
      </c>
      <c r="C12" s="10" t="inlineStr">
        <is>
          <t>Tháng 03/2026</t>
        </is>
      </c>
      <c r="D12" s="10" t="inlineStr">
        <is>
          <t>Quý 1</t>
        </is>
      </c>
      <c r="E12" s="5" t="inlineStr">
        <is>
          <t>Ban Video &amp; Truyền hình số</t>
        </is>
      </c>
      <c r="F12" s="5" t="inlineStr">
        <is>
          <t>Nhóm Đặng Minh</t>
        </is>
      </c>
      <c r="G12" s="5" t="inlineStr">
        <is>
          <t>YouTube</t>
        </is>
      </c>
      <c r="H12" s="5" t="inlineStr">
        <is>
          <t>YouTube Shorts</t>
        </is>
      </c>
      <c r="I12" s="5" t="inlineStr">
        <is>
          <t>Giáo dục &amp; Tuyển sinh</t>
        </is>
      </c>
      <c r="J12" s="5" t="inlineStr">
        <is>
          <t>Toàn trình (70%)</t>
        </is>
      </c>
      <c r="K12" s="12" t="n">
        <v>618265</v>
      </c>
      <c r="L12" s="12" t="n">
        <v>24792</v>
      </c>
      <c r="M12" s="13">
        <f>L12/K12</f>
        <v/>
      </c>
      <c r="N12" s="12" t="n">
        <v>501</v>
      </c>
      <c r="O12" s="13" t="n">
        <v>0.6952</v>
      </c>
      <c r="P12" s="12" t="n">
        <v>11800000</v>
      </c>
      <c r="Q12" s="12" t="n">
        <v>44650000</v>
      </c>
      <c r="R12" s="12">
        <f>Q12-P12</f>
        <v/>
      </c>
      <c r="S12" s="13">
        <f>(Q12-P12)/P12</f>
        <v/>
      </c>
      <c r="T12" s="10">
        <f>IF(AND(K12&gt;=50000, S12&gt;=0.35), "Vượt KPI", IF(AND(K12&gt;=20000, S12&gt;=0), "Đạt KPI", "Chưa đạt KPI"))</f>
        <v/>
      </c>
    </row>
    <row r="13">
      <c r="A13" s="14" t="inlineStr">
        <is>
          <t>SP-0010</t>
        </is>
      </c>
      <c r="B13" s="15" t="n">
        <v>46064</v>
      </c>
      <c r="C13" s="14" t="inlineStr">
        <is>
          <t>Tháng 02/2026</t>
        </is>
      </c>
      <c r="D13" s="14" t="inlineStr">
        <is>
          <t>Quý 1</t>
        </is>
      </c>
      <c r="E13" s="16" t="inlineStr">
        <is>
          <t>Ban Đời sống - Giới trẻ</t>
        </is>
      </c>
      <c r="F13" s="16" t="inlineStr">
        <is>
          <t>Nhóm Duy Khánh</t>
        </is>
      </c>
      <c r="G13" s="16" t="inlineStr">
        <is>
          <t>Báo Điện tử (Web)</t>
        </is>
      </c>
      <c r="H13" s="16" t="inlineStr">
        <is>
          <t>Infographic / Mega Story</t>
        </is>
      </c>
      <c r="I13" s="16" t="inlineStr">
        <is>
          <t>Tài chính Cá nhân &amp; Đầu tư</t>
        </is>
      </c>
      <c r="J13" s="16" t="inlineStr">
        <is>
          <t>Cơ bản (15%)</t>
        </is>
      </c>
      <c r="K13" s="17" t="n">
        <v>17694</v>
      </c>
      <c r="L13" s="17" t="n">
        <v>677</v>
      </c>
      <c r="M13" s="18">
        <f>L13/K13</f>
        <v/>
      </c>
      <c r="N13" s="17" t="n">
        <v>214</v>
      </c>
      <c r="O13" s="18" t="n">
        <v>0.7033</v>
      </c>
      <c r="P13" s="17" t="n">
        <v>5350000</v>
      </c>
      <c r="Q13" s="17" t="n">
        <v>4100000</v>
      </c>
      <c r="R13" s="17">
        <f>Q13-P13</f>
        <v/>
      </c>
      <c r="S13" s="18">
        <f>(Q13-P13)/P13</f>
        <v/>
      </c>
      <c r="T13" s="14">
        <f>IF(AND(K13&gt;=50000, S13&gt;=0.35), "Vượt KPI", IF(AND(K13&gt;=20000, S13&gt;=0), "Đạt KPI", "Chưa đạt KPI"))</f>
        <v/>
      </c>
    </row>
    <row r="14">
      <c r="A14" s="10" t="inlineStr">
        <is>
          <t>SP-0011</t>
        </is>
      </c>
      <c r="B14" s="11" t="n">
        <v>46199</v>
      </c>
      <c r="C14" s="10" t="inlineStr">
        <is>
          <t>Tháng 06/2026</t>
        </is>
      </c>
      <c r="D14" s="10" t="inlineStr">
        <is>
          <t>Quý 2</t>
        </is>
      </c>
      <c r="E14" s="5" t="inlineStr">
        <is>
          <t>Ban Công nghệ &amp; AI</t>
        </is>
      </c>
      <c r="F14" s="5" t="inlineStr">
        <is>
          <t>Nhóm Ngọc Ánh</t>
        </is>
      </c>
      <c r="G14" s="5" t="inlineStr">
        <is>
          <t>YouTube</t>
        </is>
      </c>
      <c r="H14" s="5" t="inlineStr">
        <is>
          <t>YouTube Documentary (&gt;25p)</t>
        </is>
      </c>
      <c r="I14" s="5" t="inlineStr">
        <is>
          <t>Công nghệ &amp; AI</t>
        </is>
      </c>
      <c r="J14" s="5" t="inlineStr">
        <is>
          <t>Hỗ trợ sâu (40%)</t>
        </is>
      </c>
      <c r="K14" s="12" t="n">
        <v>147382</v>
      </c>
      <c r="L14" s="12" t="n">
        <v>3389</v>
      </c>
      <c r="M14" s="13">
        <f>L14/K14</f>
        <v/>
      </c>
      <c r="N14" s="12" t="n">
        <v>123</v>
      </c>
      <c r="O14" s="13" t="n">
        <v>0.7291</v>
      </c>
      <c r="P14" s="12" t="n">
        <v>3600000</v>
      </c>
      <c r="Q14" s="12" t="n">
        <v>9550000</v>
      </c>
      <c r="R14" s="12">
        <f>Q14-P14</f>
        <v/>
      </c>
      <c r="S14" s="13">
        <f>(Q14-P14)/P14</f>
        <v/>
      </c>
      <c r="T14" s="10">
        <f>IF(AND(K14&gt;=50000, S14&gt;=0.35), "Vượt KPI", IF(AND(K14&gt;=20000, S14&gt;=0), "Đạt KPI", "Chưa đạt KPI"))</f>
        <v/>
      </c>
    </row>
    <row r="15">
      <c r="A15" s="14" t="inlineStr">
        <is>
          <t>SP-0012</t>
        </is>
      </c>
      <c r="B15" s="15" t="n">
        <v>46143</v>
      </c>
      <c r="C15" s="14" t="inlineStr">
        <is>
          <t>Tháng 05/2026</t>
        </is>
      </c>
      <c r="D15" s="14" t="inlineStr">
        <is>
          <t>Quý 2</t>
        </is>
      </c>
      <c r="E15" s="16" t="inlineStr">
        <is>
          <t>Ban Video &amp; Truyền hình số</t>
        </is>
      </c>
      <c r="F15" s="16" t="inlineStr">
        <is>
          <t>Nhóm Quốc Bảo</t>
        </is>
      </c>
      <c r="G15" s="16" t="inlineStr">
        <is>
          <t>YouTube</t>
        </is>
      </c>
      <c r="H15" s="16" t="inlineStr">
        <is>
          <t>YouTube Documentary (&gt;25p)</t>
        </is>
      </c>
      <c r="I15" s="16" t="inlineStr">
        <is>
          <t>Công nghệ &amp; AI</t>
        </is>
      </c>
      <c r="J15" s="16" t="inlineStr">
        <is>
          <t>Hỗ trợ sâu (40%)</t>
        </is>
      </c>
      <c r="K15" s="17" t="n">
        <v>111533</v>
      </c>
      <c r="L15" s="17" t="n">
        <v>10182</v>
      </c>
      <c r="M15" s="18">
        <f>L15/K15</f>
        <v/>
      </c>
      <c r="N15" s="17" t="n">
        <v>465</v>
      </c>
      <c r="O15" s="18" t="n">
        <v>0.6933</v>
      </c>
      <c r="P15" s="17" t="n">
        <v>5350000</v>
      </c>
      <c r="Q15" s="17" t="n">
        <v>17450000</v>
      </c>
      <c r="R15" s="17">
        <f>Q15-P15</f>
        <v/>
      </c>
      <c r="S15" s="18">
        <f>(Q15-P15)/P15</f>
        <v/>
      </c>
      <c r="T15" s="14">
        <f>IF(AND(K15&gt;=50000, S15&gt;=0.35), "Vượt KPI", IF(AND(K15&gt;=20000, S15&gt;=0), "Đạt KPI", "Chưa đạt KPI"))</f>
        <v/>
      </c>
    </row>
    <row r="16">
      <c r="A16" s="10" t="inlineStr">
        <is>
          <t>SP-0013</t>
        </is>
      </c>
      <c r="B16" s="11" t="n">
        <v>46101</v>
      </c>
      <c r="C16" s="10" t="inlineStr">
        <is>
          <t>Tháng 03/2026</t>
        </is>
      </c>
      <c r="D16" s="10" t="inlineStr">
        <is>
          <t>Quý 1</t>
        </is>
      </c>
      <c r="E16" s="5" t="inlineStr">
        <is>
          <t>Ban Thời sự - Chính trị</t>
        </is>
      </c>
      <c r="F16" s="5" t="inlineStr">
        <is>
          <t>Nhóm Việt Anh</t>
        </is>
      </c>
      <c r="G16" s="5" t="inlineStr">
        <is>
          <t>Báo Điện tử (Web)</t>
        </is>
      </c>
      <c r="H16" s="5" t="inlineStr">
        <is>
          <t>Tin bài Đa phương tiện</t>
        </is>
      </c>
      <c r="I16" s="5" t="inlineStr">
        <is>
          <t>Công nghệ &amp; AI</t>
        </is>
      </c>
      <c r="J16" s="5" t="inlineStr">
        <is>
          <t>Toàn trình (70%)</t>
        </is>
      </c>
      <c r="K16" s="12" t="n">
        <v>230058</v>
      </c>
      <c r="L16" s="12" t="n">
        <v>7983</v>
      </c>
      <c r="M16" s="13">
        <f>L16/K16</f>
        <v/>
      </c>
      <c r="N16" s="12" t="n">
        <v>230</v>
      </c>
      <c r="O16" s="13" t="n">
        <v>0.7755</v>
      </c>
      <c r="P16" s="12" t="n">
        <v>850000</v>
      </c>
      <c r="Q16" s="12" t="n">
        <v>2400000</v>
      </c>
      <c r="R16" s="12">
        <f>Q16-P16</f>
        <v/>
      </c>
      <c r="S16" s="13">
        <f>(Q16-P16)/P16</f>
        <v/>
      </c>
      <c r="T16" s="10">
        <f>IF(AND(K16&gt;=50000, S16&gt;=0.35), "Vượt KPI", IF(AND(K16&gt;=20000, S16&gt;=0), "Đạt KPI", "Chưa đạt KPI"))</f>
        <v/>
      </c>
    </row>
    <row r="17">
      <c r="A17" s="14" t="inlineStr">
        <is>
          <t>SP-0014</t>
        </is>
      </c>
      <c r="B17" s="15" t="n">
        <v>46134</v>
      </c>
      <c r="C17" s="14" t="inlineStr">
        <is>
          <t>Tháng 04/2026</t>
        </is>
      </c>
      <c r="D17" s="14" t="inlineStr">
        <is>
          <t>Quý 2</t>
        </is>
      </c>
      <c r="E17" s="16" t="inlineStr">
        <is>
          <t>Ban Video &amp; Truyền hình số</t>
        </is>
      </c>
      <c r="F17" s="16" t="inlineStr">
        <is>
          <t>Nhóm Hoàng Hải</t>
        </is>
      </c>
      <c r="G17" s="16" t="inlineStr">
        <is>
          <t>Báo Điện tử (Web)</t>
        </is>
      </c>
      <c r="H17" s="16" t="inlineStr">
        <is>
          <t>Longform / E-magazine</t>
        </is>
      </c>
      <c r="I17" s="16" t="inlineStr">
        <is>
          <t>Giáo dục &amp; Tuyển sinh</t>
        </is>
      </c>
      <c r="J17" s="16" t="inlineStr">
        <is>
          <t>Thủ công (0%)</t>
        </is>
      </c>
      <c r="K17" s="17" t="n">
        <v>263902</v>
      </c>
      <c r="L17" s="17" t="n">
        <v>8471</v>
      </c>
      <c r="M17" s="18">
        <f>L17/K17</f>
        <v/>
      </c>
      <c r="N17" s="17" t="n">
        <v>233</v>
      </c>
      <c r="O17" s="18" t="n">
        <v>0.3707</v>
      </c>
      <c r="P17" s="17" t="n">
        <v>2900000</v>
      </c>
      <c r="Q17" s="17" t="n">
        <v>4850000</v>
      </c>
      <c r="R17" s="17">
        <f>Q17-P17</f>
        <v/>
      </c>
      <c r="S17" s="18">
        <f>(Q17-P17)/P17</f>
        <v/>
      </c>
      <c r="T17" s="14">
        <f>IF(AND(K17&gt;=50000, S17&gt;=0.35), "Vượt KPI", IF(AND(K17&gt;=20000, S17&gt;=0), "Đạt KPI", "Chưa đạt KPI"))</f>
        <v/>
      </c>
    </row>
    <row r="18">
      <c r="A18" s="10" t="inlineStr">
        <is>
          <t>SP-0015</t>
        </is>
      </c>
      <c r="B18" s="11" t="n">
        <v>46087</v>
      </c>
      <c r="C18" s="10" t="inlineStr">
        <is>
          <t>Tháng 03/2026</t>
        </is>
      </c>
      <c r="D18" s="10" t="inlineStr">
        <is>
          <t>Quý 1</t>
        </is>
      </c>
      <c r="E18" s="5" t="inlineStr">
        <is>
          <t>Ban Kinh tế - Tài chính</t>
        </is>
      </c>
      <c r="F18" s="5" t="inlineStr">
        <is>
          <t>Nhóm Minh Tuấn</t>
        </is>
      </c>
      <c r="G18" s="5" t="inlineStr">
        <is>
          <t>TikTok</t>
        </is>
      </c>
      <c r="H18" s="5" t="inlineStr">
        <is>
          <t>TikTok Reel (1-3p)</t>
        </is>
      </c>
      <c r="I18" s="5" t="inlineStr">
        <is>
          <t>Tài chính Cá nhân &amp; Đầu tư</t>
        </is>
      </c>
      <c r="J18" s="5" t="inlineStr">
        <is>
          <t>Hỗ trợ sâu (40%)</t>
        </is>
      </c>
      <c r="K18" s="12" t="n">
        <v>206540</v>
      </c>
      <c r="L18" s="12" t="n">
        <v>16647</v>
      </c>
      <c r="M18" s="13">
        <f>L18/K18</f>
        <v/>
      </c>
      <c r="N18" s="12" t="n">
        <v>58</v>
      </c>
      <c r="O18" s="13" t="n">
        <v>0.5723</v>
      </c>
      <c r="P18" s="12" t="n">
        <v>1200000</v>
      </c>
      <c r="Q18" s="12" t="n">
        <v>2500000</v>
      </c>
      <c r="R18" s="12">
        <f>Q18-P18</f>
        <v/>
      </c>
      <c r="S18" s="13">
        <f>(Q18-P18)/P18</f>
        <v/>
      </c>
      <c r="T18" s="10">
        <f>IF(AND(K18&gt;=50000, S18&gt;=0.35), "Vượt KPI", IF(AND(K18&gt;=20000, S18&gt;=0), "Đạt KPI", "Chưa đạt KPI"))</f>
        <v/>
      </c>
    </row>
    <row r="19">
      <c r="A19" s="14" t="inlineStr">
        <is>
          <t>SP-0016</t>
        </is>
      </c>
      <c r="B19" s="15" t="n">
        <v>46025</v>
      </c>
      <c r="C19" s="14" t="inlineStr">
        <is>
          <t>Tháng 01/2026</t>
        </is>
      </c>
      <c r="D19" s="14" t="inlineStr">
        <is>
          <t>Quý 1</t>
        </is>
      </c>
      <c r="E19" s="16" t="inlineStr">
        <is>
          <t>Ban Phóng sự - Điều tra</t>
        </is>
      </c>
      <c r="F19" s="16" t="inlineStr">
        <is>
          <t>Nhóm Hải Đăng</t>
        </is>
      </c>
      <c r="G19" s="16" t="inlineStr">
        <is>
          <t>YouTube</t>
        </is>
      </c>
      <c r="H19" s="16" t="inlineStr">
        <is>
          <t>YouTube Shorts</t>
        </is>
      </c>
      <c r="I19" s="16" t="inlineStr">
        <is>
          <t>Chính sách &amp; Pháp luật</t>
        </is>
      </c>
      <c r="J19" s="16" t="inlineStr">
        <is>
          <t>Toàn trình (70%)</t>
        </is>
      </c>
      <c r="K19" s="17" t="n">
        <v>27101</v>
      </c>
      <c r="L19" s="17" t="n">
        <v>2271</v>
      </c>
      <c r="M19" s="18">
        <f>L19/K19</f>
        <v/>
      </c>
      <c r="N19" s="17" t="n">
        <v>303</v>
      </c>
      <c r="O19" s="18" t="n">
        <v>0.6662</v>
      </c>
      <c r="P19" s="17" t="n">
        <v>10050000</v>
      </c>
      <c r="Q19" s="17" t="n">
        <v>22050000</v>
      </c>
      <c r="R19" s="17">
        <f>Q19-P19</f>
        <v/>
      </c>
      <c r="S19" s="18">
        <f>(Q19-P19)/P19</f>
        <v/>
      </c>
      <c r="T19" s="14">
        <f>IF(AND(K19&gt;=50000, S19&gt;=0.35), "Vượt KPI", IF(AND(K19&gt;=20000, S19&gt;=0), "Đạt KPI", "Chưa đạt KPI"))</f>
        <v/>
      </c>
    </row>
    <row r="20">
      <c r="A20" s="10" t="inlineStr">
        <is>
          <t>SP-0017</t>
        </is>
      </c>
      <c r="B20" s="11" t="n">
        <v>46106</v>
      </c>
      <c r="C20" s="10" t="inlineStr">
        <is>
          <t>Tháng 03/2026</t>
        </is>
      </c>
      <c r="D20" s="10" t="inlineStr">
        <is>
          <t>Quý 1</t>
        </is>
      </c>
      <c r="E20" s="5" t="inlineStr">
        <is>
          <t>Ban Công nghệ &amp; AI</t>
        </is>
      </c>
      <c r="F20" s="5" t="inlineStr">
        <is>
          <t>Nhóm Gia Hưng</t>
        </is>
      </c>
      <c r="G20" s="5" t="inlineStr">
        <is>
          <t>TikTok</t>
        </is>
      </c>
      <c r="H20" s="5" t="inlineStr">
        <is>
          <t>TikTok Reel (1-3p)</t>
        </is>
      </c>
      <c r="I20" s="5" t="inlineStr">
        <is>
          <t>Giáo dục &amp; Tuyển sinh</t>
        </is>
      </c>
      <c r="J20" s="5" t="inlineStr">
        <is>
          <t>Hỗ trợ sâu (40%)</t>
        </is>
      </c>
      <c r="K20" s="12" t="n">
        <v>600463</v>
      </c>
      <c r="L20" s="12" t="n">
        <v>39690</v>
      </c>
      <c r="M20" s="13">
        <f>L20/K20</f>
        <v/>
      </c>
      <c r="N20" s="12" t="n">
        <v>91</v>
      </c>
      <c r="O20" s="13" t="n">
        <v>0.4196</v>
      </c>
      <c r="P20" s="12" t="n">
        <v>2050000</v>
      </c>
      <c r="Q20" s="12" t="n">
        <v>6100000</v>
      </c>
      <c r="R20" s="12">
        <f>Q20-P20</f>
        <v/>
      </c>
      <c r="S20" s="13">
        <f>(Q20-P20)/P20</f>
        <v/>
      </c>
      <c r="T20" s="10">
        <f>IF(AND(K20&gt;=50000, S20&gt;=0.35), "Vượt KPI", IF(AND(K20&gt;=20000, S20&gt;=0), "Đạt KPI", "Chưa đạt KPI"))</f>
        <v/>
      </c>
    </row>
    <row r="21">
      <c r="A21" s="14" t="inlineStr">
        <is>
          <t>SP-0018</t>
        </is>
      </c>
      <c r="B21" s="15" t="n">
        <v>46074</v>
      </c>
      <c r="C21" s="14" t="inlineStr">
        <is>
          <t>Tháng 02/2026</t>
        </is>
      </c>
      <c r="D21" s="14" t="inlineStr">
        <is>
          <t>Quý 1</t>
        </is>
      </c>
      <c r="E21" s="16" t="inlineStr">
        <is>
          <t>Ban Video &amp; Truyền hình số</t>
        </is>
      </c>
      <c r="F21" s="16" t="inlineStr">
        <is>
          <t>Nhóm Thu Trang</t>
        </is>
      </c>
      <c r="G21" s="16" t="inlineStr">
        <is>
          <t>TikTok</t>
        </is>
      </c>
      <c r="H21" s="16" t="inlineStr">
        <is>
          <t>Short Video (&lt;60s)</t>
        </is>
      </c>
      <c r="I21" s="16" t="inlineStr">
        <is>
          <t>Chính sách &amp; Pháp luật</t>
        </is>
      </c>
      <c r="J21" s="16" t="inlineStr">
        <is>
          <t>Thủ công (0%)</t>
        </is>
      </c>
      <c r="K21" s="17" t="n">
        <v>60301</v>
      </c>
      <c r="L21" s="17" t="n">
        <v>2779</v>
      </c>
      <c r="M21" s="18">
        <f>L21/K21</f>
        <v/>
      </c>
      <c r="N21" s="17" t="n">
        <v>84</v>
      </c>
      <c r="O21" s="18" t="n">
        <v>0.641</v>
      </c>
      <c r="P21" s="17" t="n">
        <v>1700000</v>
      </c>
      <c r="Q21" s="17" t="n">
        <v>950000</v>
      </c>
      <c r="R21" s="17">
        <f>Q21-P21</f>
        <v/>
      </c>
      <c r="S21" s="18">
        <f>(Q21-P21)/P21</f>
        <v/>
      </c>
      <c r="T21" s="14">
        <f>IF(AND(K21&gt;=50000, S21&gt;=0.35), "Vượt KPI", IF(AND(K21&gt;=20000, S21&gt;=0), "Đạt KPI", "Chưa đạt KPI"))</f>
        <v/>
      </c>
    </row>
    <row r="22">
      <c r="A22" s="10" t="inlineStr">
        <is>
          <t>SP-0019</t>
        </is>
      </c>
      <c r="B22" s="11" t="n">
        <v>46085</v>
      </c>
      <c r="C22" s="10" t="inlineStr">
        <is>
          <t>Tháng 03/2026</t>
        </is>
      </c>
      <c r="D22" s="10" t="inlineStr">
        <is>
          <t>Quý 1</t>
        </is>
      </c>
      <c r="E22" s="5" t="inlineStr">
        <is>
          <t>Ban Đời sống - Giới trẻ</t>
        </is>
      </c>
      <c r="F22" s="5" t="inlineStr">
        <is>
          <t>Nhóm Duy Khánh</t>
        </is>
      </c>
      <c r="G22" s="5" t="inlineStr">
        <is>
          <t>Báo Điện tử (Web)</t>
        </is>
      </c>
      <c r="H22" s="5" t="inlineStr">
        <is>
          <t>Infographic / Mega Story</t>
        </is>
      </c>
      <c r="I22" s="5" t="inlineStr">
        <is>
          <t>Chính sách &amp; Pháp luật</t>
        </is>
      </c>
      <c r="J22" s="5" t="inlineStr">
        <is>
          <t>Cơ bản (15%)</t>
        </is>
      </c>
      <c r="K22" s="12" t="n">
        <v>216466</v>
      </c>
      <c r="L22" s="12" t="n">
        <v>15109</v>
      </c>
      <c r="M22" s="13">
        <f>L22/K22</f>
        <v/>
      </c>
      <c r="N22" s="12" t="n">
        <v>221</v>
      </c>
      <c r="O22" s="13" t="n">
        <v>0.6899</v>
      </c>
      <c r="P22" s="12" t="n">
        <v>2500000</v>
      </c>
      <c r="Q22" s="12" t="n">
        <v>3800000</v>
      </c>
      <c r="R22" s="12">
        <f>Q22-P22</f>
        <v/>
      </c>
      <c r="S22" s="13">
        <f>(Q22-P22)/P22</f>
        <v/>
      </c>
      <c r="T22" s="10">
        <f>IF(AND(K22&gt;=50000, S22&gt;=0.35), "Vượt KPI", IF(AND(K22&gt;=20000, S22&gt;=0), "Đạt KPI", "Chưa đạt KPI"))</f>
        <v/>
      </c>
    </row>
    <row r="23">
      <c r="A23" s="14" t="inlineStr">
        <is>
          <t>SP-0020</t>
        </is>
      </c>
      <c r="B23" s="15" t="n">
        <v>46177</v>
      </c>
      <c r="C23" s="14" t="inlineStr">
        <is>
          <t>Tháng 06/2026</t>
        </is>
      </c>
      <c r="D23" s="14" t="inlineStr">
        <is>
          <t>Quý 2</t>
        </is>
      </c>
      <c r="E23" s="16" t="inlineStr">
        <is>
          <t>Ban Đời sống - Giới trẻ</t>
        </is>
      </c>
      <c r="F23" s="16" t="inlineStr">
        <is>
          <t>Nhóm Bảo Ngọc</t>
        </is>
      </c>
      <c r="G23" s="16" t="inlineStr">
        <is>
          <t>Facebook Page</t>
        </is>
      </c>
      <c r="H23" s="16" t="inlineStr">
        <is>
          <t>Photo Story / Carousel</t>
        </is>
      </c>
      <c r="I23" s="16" t="inlineStr">
        <is>
          <t>Chính sách &amp; Pháp luật</t>
        </is>
      </c>
      <c r="J23" s="16" t="inlineStr">
        <is>
          <t>Hỗ trợ sâu (40%)</t>
        </is>
      </c>
      <c r="K23" s="17" t="n">
        <v>446091</v>
      </c>
      <c r="L23" s="17" t="n">
        <v>21412</v>
      </c>
      <c r="M23" s="18">
        <f>L23/K23</f>
        <v/>
      </c>
      <c r="N23" s="17" t="n">
        <v>146</v>
      </c>
      <c r="O23" s="18" t="n">
        <v>0.5343</v>
      </c>
      <c r="P23" s="17" t="n">
        <v>750000</v>
      </c>
      <c r="Q23" s="17" t="n">
        <v>1750000</v>
      </c>
      <c r="R23" s="17">
        <f>Q23-P23</f>
        <v/>
      </c>
      <c r="S23" s="18">
        <f>(Q23-P23)/P23</f>
        <v/>
      </c>
      <c r="T23" s="14">
        <f>IF(AND(K23&gt;=50000, S23&gt;=0.35), "Vượt KPI", IF(AND(K23&gt;=20000, S23&gt;=0), "Đạt KPI", "Chưa đạt KPI"))</f>
        <v/>
      </c>
    </row>
    <row r="24">
      <c r="A24" s="10" t="inlineStr">
        <is>
          <t>SP-0021</t>
        </is>
      </c>
      <c r="B24" s="11" t="n">
        <v>46199</v>
      </c>
      <c r="C24" s="10" t="inlineStr">
        <is>
          <t>Tháng 06/2026</t>
        </is>
      </c>
      <c r="D24" s="10" t="inlineStr">
        <is>
          <t>Quý 2</t>
        </is>
      </c>
      <c r="E24" s="5" t="inlineStr">
        <is>
          <t>Ban Video &amp; Truyền hình số</t>
        </is>
      </c>
      <c r="F24" s="5" t="inlineStr">
        <is>
          <t>Nhóm Thu Trang</t>
        </is>
      </c>
      <c r="G24" s="5" t="inlineStr">
        <is>
          <t>Facebook Page</t>
        </is>
      </c>
      <c r="H24" s="5" t="inlineStr">
        <is>
          <t>Video Bản tin (3-5p)</t>
        </is>
      </c>
      <c r="I24" s="5" t="inlineStr">
        <is>
          <t>Đời sống - Xã hội</t>
        </is>
      </c>
      <c r="J24" s="5" t="inlineStr">
        <is>
          <t>Thủ công (0%)</t>
        </is>
      </c>
      <c r="K24" s="12" t="n">
        <v>117071</v>
      </c>
      <c r="L24" s="12" t="n">
        <v>5502</v>
      </c>
      <c r="M24" s="13">
        <f>L24/K24</f>
        <v/>
      </c>
      <c r="N24" s="12" t="n">
        <v>117</v>
      </c>
      <c r="O24" s="13" t="n">
        <v>0.5722</v>
      </c>
      <c r="P24" s="12" t="n">
        <v>1500000</v>
      </c>
      <c r="Q24" s="12" t="n">
        <v>750000</v>
      </c>
      <c r="R24" s="12">
        <f>Q24-P24</f>
        <v/>
      </c>
      <c r="S24" s="13">
        <f>(Q24-P24)/P24</f>
        <v/>
      </c>
      <c r="T24" s="10">
        <f>IF(AND(K24&gt;=50000, S24&gt;=0.35), "Vượt KPI", IF(AND(K24&gt;=20000, S24&gt;=0), "Đạt KPI", "Chưa đạt KPI"))</f>
        <v/>
      </c>
    </row>
    <row r="25">
      <c r="A25" s="14" t="inlineStr">
        <is>
          <t>SP-0022</t>
        </is>
      </c>
      <c r="B25" s="15" t="n">
        <v>46102</v>
      </c>
      <c r="C25" s="14" t="inlineStr">
        <is>
          <t>Tháng 03/2026</t>
        </is>
      </c>
      <c r="D25" s="14" t="inlineStr">
        <is>
          <t>Quý 1</t>
        </is>
      </c>
      <c r="E25" s="16" t="inlineStr">
        <is>
          <t>Ban Đời sống - Giới trẻ</t>
        </is>
      </c>
      <c r="F25" s="16" t="inlineStr">
        <is>
          <t>Nhóm Bảo Ngọc</t>
        </is>
      </c>
      <c r="G25" s="16" t="inlineStr">
        <is>
          <t>TikTok</t>
        </is>
      </c>
      <c r="H25" s="16" t="inlineStr">
        <is>
          <t>Short Video (&lt;60s)</t>
        </is>
      </c>
      <c r="I25" s="16" t="inlineStr">
        <is>
          <t>Chính sách &amp; Pháp luật</t>
        </is>
      </c>
      <c r="J25" s="16" t="inlineStr">
        <is>
          <t>Hỗ trợ sâu (40%)</t>
        </is>
      </c>
      <c r="K25" s="17" t="n">
        <v>414769</v>
      </c>
      <c r="L25" s="17" t="n">
        <v>40647</v>
      </c>
      <c r="M25" s="18">
        <f>L25/K25</f>
        <v/>
      </c>
      <c r="N25" s="17" t="n">
        <v>77</v>
      </c>
      <c r="O25" s="18" t="n">
        <v>0.4249</v>
      </c>
      <c r="P25" s="17" t="n">
        <v>700000</v>
      </c>
      <c r="Q25" s="17" t="n">
        <v>2000000</v>
      </c>
      <c r="R25" s="17">
        <f>Q25-P25</f>
        <v/>
      </c>
      <c r="S25" s="18">
        <f>(Q25-P25)/P25</f>
        <v/>
      </c>
      <c r="T25" s="14">
        <f>IF(AND(K25&gt;=50000, S25&gt;=0.35), "Vượt KPI", IF(AND(K25&gt;=20000, S25&gt;=0), "Đạt KPI", "Chưa đạt KPI"))</f>
        <v/>
      </c>
    </row>
    <row r="26">
      <c r="A26" s="10" t="inlineStr">
        <is>
          <t>SP-0023</t>
        </is>
      </c>
      <c r="B26" s="11" t="n">
        <v>46121</v>
      </c>
      <c r="C26" s="10" t="inlineStr">
        <is>
          <t>Tháng 04/2026</t>
        </is>
      </c>
      <c r="D26" s="10" t="inlineStr">
        <is>
          <t>Quý 2</t>
        </is>
      </c>
      <c r="E26" s="5" t="inlineStr">
        <is>
          <t>Ban Thời sự - Chính trị</t>
        </is>
      </c>
      <c r="F26" s="5" t="inlineStr">
        <is>
          <t>Nhóm Quang Huy</t>
        </is>
      </c>
      <c r="G26" s="5" t="inlineStr">
        <is>
          <t>TikTok</t>
        </is>
      </c>
      <c r="H26" s="5" t="inlineStr">
        <is>
          <t>TikTok Reel (1-3p)</t>
        </is>
      </c>
      <c r="I26" s="5" t="inlineStr">
        <is>
          <t>Đời sống - Xã hội</t>
        </is>
      </c>
      <c r="J26" s="5" t="inlineStr">
        <is>
          <t>Hỗ trợ sâu (40%)</t>
        </is>
      </c>
      <c r="K26" s="12" t="n">
        <v>523674</v>
      </c>
      <c r="L26" s="12" t="n">
        <v>63102</v>
      </c>
      <c r="M26" s="13">
        <f>L26/K26</f>
        <v/>
      </c>
      <c r="N26" s="12" t="n">
        <v>63</v>
      </c>
      <c r="O26" s="13" t="n">
        <v>0.7083</v>
      </c>
      <c r="P26" s="12" t="n">
        <v>1800000</v>
      </c>
      <c r="Q26" s="12" t="n">
        <v>8150000</v>
      </c>
      <c r="R26" s="12">
        <f>Q26-P26</f>
        <v/>
      </c>
      <c r="S26" s="13">
        <f>(Q26-P26)/P26</f>
        <v/>
      </c>
      <c r="T26" s="10">
        <f>IF(AND(K26&gt;=50000, S26&gt;=0.35), "Vượt KPI", IF(AND(K26&gt;=20000, S26&gt;=0), "Đạt KPI", "Chưa đạt KPI"))</f>
        <v/>
      </c>
    </row>
    <row r="27">
      <c r="A27" s="14" t="inlineStr">
        <is>
          <t>SP-0024</t>
        </is>
      </c>
      <c r="B27" s="15" t="n">
        <v>46074</v>
      </c>
      <c r="C27" s="14" t="inlineStr">
        <is>
          <t>Tháng 02/2026</t>
        </is>
      </c>
      <c r="D27" s="14" t="inlineStr">
        <is>
          <t>Quý 1</t>
        </is>
      </c>
      <c r="E27" s="16" t="inlineStr">
        <is>
          <t>Ban Công nghệ &amp; AI</t>
        </is>
      </c>
      <c r="F27" s="16" t="inlineStr">
        <is>
          <t>Nhóm Gia Hưng</t>
        </is>
      </c>
      <c r="G27" s="16" t="inlineStr">
        <is>
          <t>YouTube</t>
        </is>
      </c>
      <c r="H27" s="16" t="inlineStr">
        <is>
          <t>YouTube Shorts</t>
        </is>
      </c>
      <c r="I27" s="16" t="inlineStr">
        <is>
          <t>Công nghệ &amp; AI</t>
        </is>
      </c>
      <c r="J27" s="16" t="inlineStr">
        <is>
          <t>Cơ bản (15%)</t>
        </is>
      </c>
      <c r="K27" s="17" t="n">
        <v>140471</v>
      </c>
      <c r="L27" s="17" t="n">
        <v>3694</v>
      </c>
      <c r="M27" s="18">
        <f>L27/K27</f>
        <v/>
      </c>
      <c r="N27" s="17" t="n">
        <v>208</v>
      </c>
      <c r="O27" s="18" t="n">
        <v>0.5234</v>
      </c>
      <c r="P27" s="17" t="n">
        <v>4450000</v>
      </c>
      <c r="Q27" s="17" t="n">
        <v>18050000</v>
      </c>
      <c r="R27" s="17">
        <f>Q27-P27</f>
        <v/>
      </c>
      <c r="S27" s="18">
        <f>(Q27-P27)/P27</f>
        <v/>
      </c>
      <c r="T27" s="14">
        <f>IF(AND(K27&gt;=50000, S27&gt;=0.35), "Vượt KPI", IF(AND(K27&gt;=20000, S27&gt;=0), "Đạt KPI", "Chưa đạt KPI"))</f>
        <v/>
      </c>
    </row>
    <row r="28">
      <c r="A28" s="10" t="inlineStr">
        <is>
          <t>SP-0025</t>
        </is>
      </c>
      <c r="B28" s="11" t="n">
        <v>46154</v>
      </c>
      <c r="C28" s="10" t="inlineStr">
        <is>
          <t>Tháng 05/2026</t>
        </is>
      </c>
      <c r="D28" s="10" t="inlineStr">
        <is>
          <t>Quý 2</t>
        </is>
      </c>
      <c r="E28" s="5" t="inlineStr">
        <is>
          <t>Ban Thời sự - Chính trị</t>
        </is>
      </c>
      <c r="F28" s="5" t="inlineStr">
        <is>
          <t>Nhóm Việt Anh</t>
        </is>
      </c>
      <c r="G28" s="5" t="inlineStr">
        <is>
          <t>Facebook Page</t>
        </is>
      </c>
      <c r="H28" s="5" t="inlineStr">
        <is>
          <t>Video Bản tin (3-5p)</t>
        </is>
      </c>
      <c r="I28" s="5" t="inlineStr">
        <is>
          <t>Giáo dục &amp; Tuyển sinh</t>
        </is>
      </c>
      <c r="J28" s="5" t="inlineStr">
        <is>
          <t>Toàn trình (70%)</t>
        </is>
      </c>
      <c r="K28" s="12" t="n">
        <v>204405</v>
      </c>
      <c r="L28" s="12" t="n">
        <v>14001</v>
      </c>
      <c r="M28" s="13">
        <f>L28/K28</f>
        <v/>
      </c>
      <c r="N28" s="12" t="n">
        <v>115</v>
      </c>
      <c r="O28" s="13" t="n">
        <v>0.5708</v>
      </c>
      <c r="P28" s="12" t="n">
        <v>2550000</v>
      </c>
      <c r="Q28" s="12" t="n">
        <v>5350000</v>
      </c>
      <c r="R28" s="12">
        <f>Q28-P28</f>
        <v/>
      </c>
      <c r="S28" s="13">
        <f>(Q28-P28)/P28</f>
        <v/>
      </c>
      <c r="T28" s="10">
        <f>IF(AND(K28&gt;=50000, S28&gt;=0.35), "Vượt KPI", IF(AND(K28&gt;=20000, S28&gt;=0), "Đạt KPI", "Chưa đạt KPI"))</f>
        <v/>
      </c>
    </row>
    <row r="29">
      <c r="A29" s="14" t="inlineStr">
        <is>
          <t>SP-0026</t>
        </is>
      </c>
      <c r="B29" s="15" t="n">
        <v>46117</v>
      </c>
      <c r="C29" s="14" t="inlineStr">
        <is>
          <t>Tháng 04/2026</t>
        </is>
      </c>
      <c r="D29" s="14" t="inlineStr">
        <is>
          <t>Quý 2</t>
        </is>
      </c>
      <c r="E29" s="16" t="inlineStr">
        <is>
          <t>Ban Phóng sự - Điều tra</t>
        </is>
      </c>
      <c r="F29" s="16" t="inlineStr">
        <is>
          <t>Nhóm Trọng Nghĩa</t>
        </is>
      </c>
      <c r="G29" s="16" t="inlineStr">
        <is>
          <t>Podcast / Audio</t>
        </is>
      </c>
      <c r="H29" s="16" t="inlineStr">
        <is>
          <t>Điểm tin Audio AI (5p)</t>
        </is>
      </c>
      <c r="I29" s="16" t="inlineStr">
        <is>
          <t>Phóng sự Điều tra</t>
        </is>
      </c>
      <c r="J29" s="16" t="inlineStr">
        <is>
          <t>Cơ bản (15%)</t>
        </is>
      </c>
      <c r="K29" s="17" t="n">
        <v>7146</v>
      </c>
      <c r="L29" s="17" t="n">
        <v>351</v>
      </c>
      <c r="M29" s="18">
        <f>L29/K29</f>
        <v/>
      </c>
      <c r="N29" s="17" t="n">
        <v>704</v>
      </c>
      <c r="O29" s="18" t="n">
        <v>0.3752</v>
      </c>
      <c r="P29" s="17" t="n">
        <v>3250000</v>
      </c>
      <c r="Q29" s="17" t="n">
        <v>1800000</v>
      </c>
      <c r="R29" s="17">
        <f>Q29-P29</f>
        <v/>
      </c>
      <c r="S29" s="18">
        <f>(Q29-P29)/P29</f>
        <v/>
      </c>
      <c r="T29" s="14">
        <f>IF(AND(K29&gt;=50000, S29&gt;=0.35), "Vượt KPI", IF(AND(K29&gt;=20000, S29&gt;=0), "Đạt KPI", "Chưa đạt KPI"))</f>
        <v/>
      </c>
    </row>
    <row r="30">
      <c r="A30" s="10" t="inlineStr">
        <is>
          <t>SP-0027</t>
        </is>
      </c>
      <c r="B30" s="11" t="n">
        <v>46192</v>
      </c>
      <c r="C30" s="10" t="inlineStr">
        <is>
          <t>Tháng 06/2026</t>
        </is>
      </c>
      <c r="D30" s="10" t="inlineStr">
        <is>
          <t>Quý 2</t>
        </is>
      </c>
      <c r="E30" s="5" t="inlineStr">
        <is>
          <t>Ban Kinh tế - Tài chính</t>
        </is>
      </c>
      <c r="F30" s="5" t="inlineStr">
        <is>
          <t>Nhóm Đức Thịnh</t>
        </is>
      </c>
      <c r="G30" s="5" t="inlineStr">
        <is>
          <t>TikTok</t>
        </is>
      </c>
      <c r="H30" s="5" t="inlineStr">
        <is>
          <t>TikTok Reel (1-3p)</t>
        </is>
      </c>
      <c r="I30" s="5" t="inlineStr">
        <is>
          <t>Tài chính Cá nhân &amp; Đầu tư</t>
        </is>
      </c>
      <c r="J30" s="5" t="inlineStr">
        <is>
          <t>Hỗ trợ sâu (40%)</t>
        </is>
      </c>
      <c r="K30" s="12" t="n">
        <v>925058</v>
      </c>
      <c r="L30" s="12" t="n">
        <v>90563</v>
      </c>
      <c r="M30" s="13">
        <f>L30/K30</f>
        <v/>
      </c>
      <c r="N30" s="12" t="n">
        <v>92</v>
      </c>
      <c r="O30" s="13" t="n">
        <v>0.3909</v>
      </c>
      <c r="P30" s="12" t="n">
        <v>900000</v>
      </c>
      <c r="Q30" s="12" t="n">
        <v>2750000</v>
      </c>
      <c r="R30" s="12">
        <f>Q30-P30</f>
        <v/>
      </c>
      <c r="S30" s="13">
        <f>(Q30-P30)/P30</f>
        <v/>
      </c>
      <c r="T30" s="10">
        <f>IF(AND(K30&gt;=50000, S30&gt;=0.35), "Vượt KPI", IF(AND(K30&gt;=20000, S30&gt;=0), "Đạt KPI", "Chưa đạt KPI"))</f>
        <v/>
      </c>
    </row>
    <row r="31">
      <c r="A31" s="14" t="inlineStr">
        <is>
          <t>SP-0028</t>
        </is>
      </c>
      <c r="B31" s="15" t="n">
        <v>46105</v>
      </c>
      <c r="C31" s="14" t="inlineStr">
        <is>
          <t>Tháng 03/2026</t>
        </is>
      </c>
      <c r="D31" s="14" t="inlineStr">
        <is>
          <t>Quý 1</t>
        </is>
      </c>
      <c r="E31" s="16" t="inlineStr">
        <is>
          <t>Ban Công nghệ &amp; AI</t>
        </is>
      </c>
      <c r="F31" s="16" t="inlineStr">
        <is>
          <t>Nhóm Gia Hưng</t>
        </is>
      </c>
      <c r="G31" s="16" t="inlineStr">
        <is>
          <t>Facebook Page</t>
        </is>
      </c>
      <c r="H31" s="16" t="inlineStr">
        <is>
          <t>Facebook Reels</t>
        </is>
      </c>
      <c r="I31" s="16" t="inlineStr">
        <is>
          <t>Kinh tế - Thị trường</t>
        </is>
      </c>
      <c r="J31" s="16" t="inlineStr">
        <is>
          <t>Hỗ trợ sâu (40%)</t>
        </is>
      </c>
      <c r="K31" s="17" t="n">
        <v>182687</v>
      </c>
      <c r="L31" s="17" t="n">
        <v>5809</v>
      </c>
      <c r="M31" s="18">
        <f>L31/K31</f>
        <v/>
      </c>
      <c r="N31" s="17" t="n">
        <v>89</v>
      </c>
      <c r="O31" s="18" t="n">
        <v>0.7673</v>
      </c>
      <c r="P31" s="17" t="n">
        <v>2450000</v>
      </c>
      <c r="Q31" s="17" t="n">
        <v>9200000</v>
      </c>
      <c r="R31" s="17">
        <f>Q31-P31</f>
        <v/>
      </c>
      <c r="S31" s="18">
        <f>(Q31-P31)/P31</f>
        <v/>
      </c>
      <c r="T31" s="14">
        <f>IF(AND(K31&gt;=50000, S31&gt;=0.35), "Vượt KPI", IF(AND(K31&gt;=20000, S31&gt;=0), "Đạt KPI", "Chưa đạt KPI"))</f>
        <v/>
      </c>
    </row>
    <row r="32">
      <c r="A32" s="10" t="inlineStr">
        <is>
          <t>SP-0029</t>
        </is>
      </c>
      <c r="B32" s="11" t="n">
        <v>46185</v>
      </c>
      <c r="C32" s="10" t="inlineStr">
        <is>
          <t>Tháng 06/2026</t>
        </is>
      </c>
      <c r="D32" s="10" t="inlineStr">
        <is>
          <t>Quý 2</t>
        </is>
      </c>
      <c r="E32" s="5" t="inlineStr">
        <is>
          <t>Ban Công nghệ &amp; AI</t>
        </is>
      </c>
      <c r="F32" s="5" t="inlineStr">
        <is>
          <t>Nhóm Tuấn Kiệt</t>
        </is>
      </c>
      <c r="G32" s="5" t="inlineStr">
        <is>
          <t>Báo Điện tử (Web)</t>
        </is>
      </c>
      <c r="H32" s="5" t="inlineStr">
        <is>
          <t>Longform / E-magazine</t>
        </is>
      </c>
      <c r="I32" s="5" t="inlineStr">
        <is>
          <t>Công nghệ &amp; AI</t>
        </is>
      </c>
      <c r="J32" s="5" t="inlineStr">
        <is>
          <t>Hỗ trợ sâu (40%)</t>
        </is>
      </c>
      <c r="K32" s="12" t="n">
        <v>53055</v>
      </c>
      <c r="L32" s="12" t="n">
        <v>1278</v>
      </c>
      <c r="M32" s="13">
        <f>L32/K32</f>
        <v/>
      </c>
      <c r="N32" s="12" t="n">
        <v>94</v>
      </c>
      <c r="O32" s="13" t="n">
        <v>0.634</v>
      </c>
      <c r="P32" s="12" t="n">
        <v>3800000</v>
      </c>
      <c r="Q32" s="12" t="n">
        <v>9950000</v>
      </c>
      <c r="R32" s="12">
        <f>Q32-P32</f>
        <v/>
      </c>
      <c r="S32" s="13">
        <f>(Q32-P32)/P32</f>
        <v/>
      </c>
      <c r="T32" s="10">
        <f>IF(AND(K32&gt;=50000, S32&gt;=0.35), "Vượt KPI", IF(AND(K32&gt;=20000, S32&gt;=0), "Đạt KPI", "Chưa đạt KPI"))</f>
        <v/>
      </c>
    </row>
    <row r="33">
      <c r="A33" s="14" t="inlineStr">
        <is>
          <t>SP-0030</t>
        </is>
      </c>
      <c r="B33" s="15" t="n">
        <v>46032</v>
      </c>
      <c r="C33" s="14" t="inlineStr">
        <is>
          <t>Tháng 01/2026</t>
        </is>
      </c>
      <c r="D33" s="14" t="inlineStr">
        <is>
          <t>Quý 1</t>
        </is>
      </c>
      <c r="E33" s="16" t="inlineStr">
        <is>
          <t>Ban Thời sự - Chính trị</t>
        </is>
      </c>
      <c r="F33" s="16" t="inlineStr">
        <is>
          <t>Nhóm Việt Anh</t>
        </is>
      </c>
      <c r="G33" s="16" t="inlineStr">
        <is>
          <t>TikTok</t>
        </is>
      </c>
      <c r="H33" s="16" t="inlineStr">
        <is>
          <t>Short Video (&lt;60s)</t>
        </is>
      </c>
      <c r="I33" s="16" t="inlineStr">
        <is>
          <t>Kinh tế - Thị trường</t>
        </is>
      </c>
      <c r="J33" s="16" t="inlineStr">
        <is>
          <t>Toàn trình (70%)</t>
        </is>
      </c>
      <c r="K33" s="17" t="n">
        <v>316250</v>
      </c>
      <c r="L33" s="17" t="n">
        <v>35420</v>
      </c>
      <c r="M33" s="18">
        <f>L33/K33</f>
        <v/>
      </c>
      <c r="N33" s="17" t="n">
        <v>23</v>
      </c>
      <c r="O33" s="18" t="n">
        <v>0.476</v>
      </c>
      <c r="P33" s="17" t="n">
        <v>1100000</v>
      </c>
      <c r="Q33" s="17" t="n">
        <v>2350000</v>
      </c>
      <c r="R33" s="17">
        <f>Q33-P33</f>
        <v/>
      </c>
      <c r="S33" s="18">
        <f>(Q33-P33)/P33</f>
        <v/>
      </c>
      <c r="T33" s="14">
        <f>IF(AND(K33&gt;=50000, S33&gt;=0.35), "Vượt KPI", IF(AND(K33&gt;=20000, S33&gt;=0), "Đạt KPI", "Chưa đạt KPI"))</f>
        <v/>
      </c>
    </row>
    <row r="34">
      <c r="A34" s="10" t="inlineStr">
        <is>
          <t>SP-0031</t>
        </is>
      </c>
      <c r="B34" s="11" t="n">
        <v>46130</v>
      </c>
      <c r="C34" s="10" t="inlineStr">
        <is>
          <t>Tháng 04/2026</t>
        </is>
      </c>
      <c r="D34" s="10" t="inlineStr">
        <is>
          <t>Quý 2</t>
        </is>
      </c>
      <c r="E34" s="5" t="inlineStr">
        <is>
          <t>Ban Công nghệ &amp; AI</t>
        </is>
      </c>
      <c r="F34" s="5" t="inlineStr">
        <is>
          <t>Nhóm Tuấn Kiệt</t>
        </is>
      </c>
      <c r="G34" s="5" t="inlineStr">
        <is>
          <t>Facebook Page</t>
        </is>
      </c>
      <c r="H34" s="5" t="inlineStr">
        <is>
          <t>Photo Story / Carousel</t>
        </is>
      </c>
      <c r="I34" s="5" t="inlineStr">
        <is>
          <t>Kinh tế - Thị trường</t>
        </is>
      </c>
      <c r="J34" s="5" t="inlineStr">
        <is>
          <t>Thủ công (0%)</t>
        </is>
      </c>
      <c r="K34" s="12" t="n">
        <v>182933</v>
      </c>
      <c r="L34" s="12" t="n">
        <v>4939</v>
      </c>
      <c r="M34" s="13">
        <f>L34/K34</f>
        <v/>
      </c>
      <c r="N34" s="12" t="n">
        <v>185</v>
      </c>
      <c r="O34" s="13" t="n">
        <v>0.6048</v>
      </c>
      <c r="P34" s="12" t="n">
        <v>4250000</v>
      </c>
      <c r="Q34" s="12" t="n">
        <v>7250000</v>
      </c>
      <c r="R34" s="12">
        <f>Q34-P34</f>
        <v/>
      </c>
      <c r="S34" s="13">
        <f>(Q34-P34)/P34</f>
        <v/>
      </c>
      <c r="T34" s="10">
        <f>IF(AND(K34&gt;=50000, S34&gt;=0.35), "Vượt KPI", IF(AND(K34&gt;=20000, S34&gt;=0), "Đạt KPI", "Chưa đạt KPI"))</f>
        <v/>
      </c>
    </row>
    <row r="35">
      <c r="A35" s="14" t="inlineStr">
        <is>
          <t>SP-0032</t>
        </is>
      </c>
      <c r="B35" s="15" t="n">
        <v>46067</v>
      </c>
      <c r="C35" s="14" t="inlineStr">
        <is>
          <t>Tháng 02/2026</t>
        </is>
      </c>
      <c r="D35" s="14" t="inlineStr">
        <is>
          <t>Quý 1</t>
        </is>
      </c>
      <c r="E35" s="16" t="inlineStr">
        <is>
          <t>Ban Công nghệ &amp; AI</t>
        </is>
      </c>
      <c r="F35" s="16" t="inlineStr">
        <is>
          <t>Nhóm Gia Hưng</t>
        </is>
      </c>
      <c r="G35" s="16" t="inlineStr">
        <is>
          <t>YouTube</t>
        </is>
      </c>
      <c r="H35" s="16" t="inlineStr">
        <is>
          <t>YouTube Shorts</t>
        </is>
      </c>
      <c r="I35" s="16" t="inlineStr">
        <is>
          <t>Giáo dục &amp; Tuyển sinh</t>
        </is>
      </c>
      <c r="J35" s="16" t="inlineStr">
        <is>
          <t>Thủ công (0%)</t>
        </is>
      </c>
      <c r="K35" s="17" t="n">
        <v>226218</v>
      </c>
      <c r="L35" s="17" t="n">
        <v>7895</v>
      </c>
      <c r="M35" s="18">
        <f>L35/K35</f>
        <v/>
      </c>
      <c r="N35" s="17" t="n">
        <v>637</v>
      </c>
      <c r="O35" s="18" t="n">
        <v>0.3836</v>
      </c>
      <c r="P35" s="17" t="n">
        <v>15150000</v>
      </c>
      <c r="Q35" s="17" t="n">
        <v>31100000</v>
      </c>
      <c r="R35" s="17">
        <f>Q35-P35</f>
        <v/>
      </c>
      <c r="S35" s="18">
        <f>(Q35-P35)/P35</f>
        <v/>
      </c>
      <c r="T35" s="14">
        <f>IF(AND(K35&gt;=50000, S35&gt;=0.35), "Vượt KPI", IF(AND(K35&gt;=20000, S35&gt;=0), "Đạt KPI", "Chưa đạt KPI"))</f>
        <v/>
      </c>
    </row>
    <row r="36">
      <c r="A36" s="10" t="inlineStr">
        <is>
          <t>SP-0033</t>
        </is>
      </c>
      <c r="B36" s="11" t="n">
        <v>46107</v>
      </c>
      <c r="C36" s="10" t="inlineStr">
        <is>
          <t>Tháng 03/2026</t>
        </is>
      </c>
      <c r="D36" s="10" t="inlineStr">
        <is>
          <t>Quý 1</t>
        </is>
      </c>
      <c r="E36" s="5" t="inlineStr">
        <is>
          <t>Ban Công nghệ &amp; AI</t>
        </is>
      </c>
      <c r="F36" s="5" t="inlineStr">
        <is>
          <t>Nhóm Ngọc Ánh</t>
        </is>
      </c>
      <c r="G36" s="5" t="inlineStr">
        <is>
          <t>TikTok</t>
        </is>
      </c>
      <c r="H36" s="5" t="inlineStr">
        <is>
          <t>TikTok Reel (1-3p)</t>
        </is>
      </c>
      <c r="I36" s="5" t="inlineStr">
        <is>
          <t>Giáo dục &amp; Tuyển sinh</t>
        </is>
      </c>
      <c r="J36" s="5" t="inlineStr">
        <is>
          <t>Hỗ trợ sâu (40%)</t>
        </is>
      </c>
      <c r="K36" s="12" t="n">
        <v>788054</v>
      </c>
      <c r="L36" s="12" t="n">
        <v>56188</v>
      </c>
      <c r="M36" s="13">
        <f>L36/K36</f>
        <v/>
      </c>
      <c r="N36" s="12" t="n">
        <v>27</v>
      </c>
      <c r="O36" s="13" t="n">
        <v>0.4607</v>
      </c>
      <c r="P36" s="12" t="n">
        <v>2450000</v>
      </c>
      <c r="Q36" s="12" t="n">
        <v>4450000</v>
      </c>
      <c r="R36" s="12">
        <f>Q36-P36</f>
        <v/>
      </c>
      <c r="S36" s="13">
        <f>(Q36-P36)/P36</f>
        <v/>
      </c>
      <c r="T36" s="10">
        <f>IF(AND(K36&gt;=50000, S36&gt;=0.35), "Vượt KPI", IF(AND(K36&gt;=20000, S36&gt;=0), "Đạt KPI", "Chưa đạt KPI"))</f>
        <v/>
      </c>
    </row>
    <row r="37">
      <c r="A37" s="14" t="inlineStr">
        <is>
          <t>SP-0034</t>
        </is>
      </c>
      <c r="B37" s="15" t="n">
        <v>46064</v>
      </c>
      <c r="C37" s="14" t="inlineStr">
        <is>
          <t>Tháng 02/2026</t>
        </is>
      </c>
      <c r="D37" s="14" t="inlineStr">
        <is>
          <t>Quý 1</t>
        </is>
      </c>
      <c r="E37" s="16" t="inlineStr">
        <is>
          <t>Ban Thời sự - Chính trị</t>
        </is>
      </c>
      <c r="F37" s="16" t="inlineStr">
        <is>
          <t>Nhóm Việt Anh</t>
        </is>
      </c>
      <c r="G37" s="16" t="inlineStr">
        <is>
          <t>Facebook Page</t>
        </is>
      </c>
      <c r="H37" s="16" t="inlineStr">
        <is>
          <t>Video Bản tin (3-5p)</t>
        </is>
      </c>
      <c r="I37" s="16" t="inlineStr">
        <is>
          <t>Chính sách &amp; Pháp luật</t>
        </is>
      </c>
      <c r="J37" s="16" t="inlineStr">
        <is>
          <t>Cơ bản (15%)</t>
        </is>
      </c>
      <c r="K37" s="17" t="n">
        <v>237255</v>
      </c>
      <c r="L37" s="17" t="n">
        <v>12147</v>
      </c>
      <c r="M37" s="18">
        <f>L37/K37</f>
        <v/>
      </c>
      <c r="N37" s="17" t="n">
        <v>115</v>
      </c>
      <c r="O37" s="18" t="n">
        <v>0.4517</v>
      </c>
      <c r="P37" s="17" t="n">
        <v>2200000</v>
      </c>
      <c r="Q37" s="17" t="n">
        <v>2700000</v>
      </c>
      <c r="R37" s="17">
        <f>Q37-P37</f>
        <v/>
      </c>
      <c r="S37" s="18">
        <f>(Q37-P37)/P37</f>
        <v/>
      </c>
      <c r="T37" s="14">
        <f>IF(AND(K37&gt;=50000, S37&gt;=0.35), "Vượt KPI", IF(AND(K37&gt;=20000, S37&gt;=0), "Đạt KPI", "Chưa đạt KPI"))</f>
        <v/>
      </c>
    </row>
    <row r="38">
      <c r="A38" s="10" t="inlineStr">
        <is>
          <t>SP-0035</t>
        </is>
      </c>
      <c r="B38" s="11" t="n">
        <v>46134</v>
      </c>
      <c r="C38" s="10" t="inlineStr">
        <is>
          <t>Tháng 04/2026</t>
        </is>
      </c>
      <c r="D38" s="10" t="inlineStr">
        <is>
          <t>Quý 2</t>
        </is>
      </c>
      <c r="E38" s="5" t="inlineStr">
        <is>
          <t>Ban Đời sống - Giới trẻ</t>
        </is>
      </c>
      <c r="F38" s="5" t="inlineStr">
        <is>
          <t>Nhóm Duy Khánh</t>
        </is>
      </c>
      <c r="G38" s="5" t="inlineStr">
        <is>
          <t>Facebook Page</t>
        </is>
      </c>
      <c r="H38" s="5" t="inlineStr">
        <is>
          <t>Photo Story / Carousel</t>
        </is>
      </c>
      <c r="I38" s="5" t="inlineStr">
        <is>
          <t>Kinh tế - Thị trường</t>
        </is>
      </c>
      <c r="J38" s="5" t="inlineStr">
        <is>
          <t>Hỗ trợ sâu (40%)</t>
        </is>
      </c>
      <c r="K38" s="12" t="n">
        <v>332995</v>
      </c>
      <c r="L38" s="12" t="n">
        <v>8791</v>
      </c>
      <c r="M38" s="13">
        <f>L38/K38</f>
        <v/>
      </c>
      <c r="N38" s="12" t="n">
        <v>90</v>
      </c>
      <c r="O38" s="13" t="n">
        <v>0.4203</v>
      </c>
      <c r="P38" s="12" t="n">
        <v>1450000</v>
      </c>
      <c r="Q38" s="12" t="n">
        <v>4850000</v>
      </c>
      <c r="R38" s="12">
        <f>Q38-P38</f>
        <v/>
      </c>
      <c r="S38" s="13">
        <f>(Q38-P38)/P38</f>
        <v/>
      </c>
      <c r="T38" s="10">
        <f>IF(AND(K38&gt;=50000, S38&gt;=0.35), "Vượt KPI", IF(AND(K38&gt;=20000, S38&gt;=0), "Đạt KPI", "Chưa đạt KPI"))</f>
        <v/>
      </c>
    </row>
    <row r="39">
      <c r="A39" s="14" t="inlineStr">
        <is>
          <t>SP-0036</t>
        </is>
      </c>
      <c r="B39" s="15" t="n">
        <v>46132</v>
      </c>
      <c r="C39" s="14" t="inlineStr">
        <is>
          <t>Tháng 04/2026</t>
        </is>
      </c>
      <c r="D39" s="14" t="inlineStr">
        <is>
          <t>Quý 2</t>
        </is>
      </c>
      <c r="E39" s="16" t="inlineStr">
        <is>
          <t>Ban Phóng sự - Điều tra</t>
        </is>
      </c>
      <c r="F39" s="16" t="inlineStr">
        <is>
          <t>Nhóm Khánh Linh</t>
        </is>
      </c>
      <c r="G39" s="16" t="inlineStr">
        <is>
          <t>Facebook Page</t>
        </is>
      </c>
      <c r="H39" s="16" t="inlineStr">
        <is>
          <t>Video Bản tin (3-5p)</t>
        </is>
      </c>
      <c r="I39" s="16" t="inlineStr">
        <is>
          <t>Đời sống - Xã hội</t>
        </is>
      </c>
      <c r="J39" s="16" t="inlineStr">
        <is>
          <t>Toàn trình (70%)</t>
        </is>
      </c>
      <c r="K39" s="17" t="n">
        <v>336504</v>
      </c>
      <c r="L39" s="17" t="n">
        <v>23016</v>
      </c>
      <c r="M39" s="18">
        <f>L39/K39</f>
        <v/>
      </c>
      <c r="N39" s="17" t="n">
        <v>134</v>
      </c>
      <c r="O39" s="18" t="n">
        <v>0.7804</v>
      </c>
      <c r="P39" s="17" t="n">
        <v>1400000</v>
      </c>
      <c r="Q39" s="17" t="n">
        <v>3450000</v>
      </c>
      <c r="R39" s="17">
        <f>Q39-P39</f>
        <v/>
      </c>
      <c r="S39" s="18">
        <f>(Q39-P39)/P39</f>
        <v/>
      </c>
      <c r="T39" s="14">
        <f>IF(AND(K39&gt;=50000, S39&gt;=0.35), "Vượt KPI", IF(AND(K39&gt;=20000, S39&gt;=0), "Đạt KPI", "Chưa đạt KPI"))</f>
        <v/>
      </c>
    </row>
    <row r="40">
      <c r="A40" s="10" t="inlineStr">
        <is>
          <t>SP-0037</t>
        </is>
      </c>
      <c r="B40" s="11" t="n">
        <v>46132</v>
      </c>
      <c r="C40" s="10" t="inlineStr">
        <is>
          <t>Tháng 04/2026</t>
        </is>
      </c>
      <c r="D40" s="10" t="inlineStr">
        <is>
          <t>Quý 2</t>
        </is>
      </c>
      <c r="E40" s="5" t="inlineStr">
        <is>
          <t>Ban Đời sống - Giới trẻ</t>
        </is>
      </c>
      <c r="F40" s="5" t="inlineStr">
        <is>
          <t>Nhóm Bảo Ngọc</t>
        </is>
      </c>
      <c r="G40" s="5" t="inlineStr">
        <is>
          <t>TikTok</t>
        </is>
      </c>
      <c r="H40" s="5" t="inlineStr">
        <is>
          <t>Short Video (&lt;60s)</t>
        </is>
      </c>
      <c r="I40" s="5" t="inlineStr">
        <is>
          <t>Đời sống - Xã hội</t>
        </is>
      </c>
      <c r="J40" s="5" t="inlineStr">
        <is>
          <t>Cơ bản (15%)</t>
        </is>
      </c>
      <c r="K40" s="12" t="n">
        <v>394779</v>
      </c>
      <c r="L40" s="12" t="n">
        <v>48478</v>
      </c>
      <c r="M40" s="13">
        <f>L40/K40</f>
        <v/>
      </c>
      <c r="N40" s="12" t="n">
        <v>90</v>
      </c>
      <c r="O40" s="13" t="n">
        <v>0.4025</v>
      </c>
      <c r="P40" s="12" t="n">
        <v>2400000</v>
      </c>
      <c r="Q40" s="12" t="n">
        <v>1550000</v>
      </c>
      <c r="R40" s="12">
        <f>Q40-P40</f>
        <v/>
      </c>
      <c r="S40" s="13">
        <f>(Q40-P40)/P40</f>
        <v/>
      </c>
      <c r="T40" s="10">
        <f>IF(AND(K40&gt;=50000, S40&gt;=0.35), "Vượt KPI", IF(AND(K40&gt;=20000, S40&gt;=0), "Đạt KPI", "Chưa đạt KPI"))</f>
        <v/>
      </c>
    </row>
    <row r="41">
      <c r="A41" s="14" t="inlineStr">
        <is>
          <t>SP-0038</t>
        </is>
      </c>
      <c r="B41" s="15" t="n">
        <v>46131</v>
      </c>
      <c r="C41" s="14" t="inlineStr">
        <is>
          <t>Tháng 04/2026</t>
        </is>
      </c>
      <c r="D41" s="14" t="inlineStr">
        <is>
          <t>Quý 2</t>
        </is>
      </c>
      <c r="E41" s="16" t="inlineStr">
        <is>
          <t>Ban Công nghệ &amp; AI</t>
        </is>
      </c>
      <c r="F41" s="16" t="inlineStr">
        <is>
          <t>Nhóm Tuấn Kiệt</t>
        </is>
      </c>
      <c r="G41" s="16" t="inlineStr">
        <is>
          <t>TikTok</t>
        </is>
      </c>
      <c r="H41" s="16" t="inlineStr">
        <is>
          <t>TikTok Reel (1-3p)</t>
        </is>
      </c>
      <c r="I41" s="16" t="inlineStr">
        <is>
          <t>Kinh tế - Thị trường</t>
        </is>
      </c>
      <c r="J41" s="16" t="inlineStr">
        <is>
          <t>Toàn trình (70%)</t>
        </is>
      </c>
      <c r="K41" s="17" t="n">
        <v>574519</v>
      </c>
      <c r="L41" s="17" t="n">
        <v>36481</v>
      </c>
      <c r="M41" s="18">
        <f>L41/K41</f>
        <v/>
      </c>
      <c r="N41" s="17" t="n">
        <v>90</v>
      </c>
      <c r="O41" s="18" t="n">
        <v>0.5693</v>
      </c>
      <c r="P41" s="17" t="n">
        <v>1750000</v>
      </c>
      <c r="Q41" s="17" t="n">
        <v>5100000</v>
      </c>
      <c r="R41" s="17">
        <f>Q41-P41</f>
        <v/>
      </c>
      <c r="S41" s="18">
        <f>(Q41-P41)/P41</f>
        <v/>
      </c>
      <c r="T41" s="14">
        <f>IF(AND(K41&gt;=50000, S41&gt;=0.35), "Vượt KPI", IF(AND(K41&gt;=20000, S41&gt;=0), "Đạt KPI", "Chưa đạt KPI"))</f>
        <v/>
      </c>
    </row>
    <row r="42">
      <c r="A42" s="10" t="inlineStr">
        <is>
          <t>SP-0039</t>
        </is>
      </c>
      <c r="B42" s="11" t="n">
        <v>46097</v>
      </c>
      <c r="C42" s="10" t="inlineStr">
        <is>
          <t>Tháng 03/2026</t>
        </is>
      </c>
      <c r="D42" s="10" t="inlineStr">
        <is>
          <t>Quý 1</t>
        </is>
      </c>
      <c r="E42" s="5" t="inlineStr">
        <is>
          <t>Ban Kinh tế - Tài chính</t>
        </is>
      </c>
      <c r="F42" s="5" t="inlineStr">
        <is>
          <t>Nhóm Lan Hương</t>
        </is>
      </c>
      <c r="G42" s="5" t="inlineStr">
        <is>
          <t>TikTok</t>
        </is>
      </c>
      <c r="H42" s="5" t="inlineStr">
        <is>
          <t>TikTok Reel (1-3p)</t>
        </is>
      </c>
      <c r="I42" s="5" t="inlineStr">
        <is>
          <t>Kinh tế - Thị trường</t>
        </is>
      </c>
      <c r="J42" s="5" t="inlineStr">
        <is>
          <t>Toàn trình (70%)</t>
        </is>
      </c>
      <c r="K42" s="12" t="n">
        <v>993380</v>
      </c>
      <c r="L42" s="12" t="n">
        <v>104702</v>
      </c>
      <c r="M42" s="13">
        <f>L42/K42</f>
        <v/>
      </c>
      <c r="N42" s="12" t="n">
        <v>33</v>
      </c>
      <c r="O42" s="13" t="n">
        <v>0.481</v>
      </c>
      <c r="P42" s="12" t="n">
        <v>2100000</v>
      </c>
      <c r="Q42" s="12" t="n">
        <v>6500000</v>
      </c>
      <c r="R42" s="12">
        <f>Q42-P42</f>
        <v/>
      </c>
      <c r="S42" s="13">
        <f>(Q42-P42)/P42</f>
        <v/>
      </c>
      <c r="T42" s="10">
        <f>IF(AND(K42&gt;=50000, S42&gt;=0.35), "Vượt KPI", IF(AND(K42&gt;=20000, S42&gt;=0), "Đạt KPI", "Chưa đạt KPI"))</f>
        <v/>
      </c>
    </row>
    <row r="43">
      <c r="A43" s="14" t="inlineStr">
        <is>
          <t>SP-0040</t>
        </is>
      </c>
      <c r="B43" s="15" t="n">
        <v>46036</v>
      </c>
      <c r="C43" s="14" t="inlineStr">
        <is>
          <t>Tháng 01/2026</t>
        </is>
      </c>
      <c r="D43" s="14" t="inlineStr">
        <is>
          <t>Quý 1</t>
        </is>
      </c>
      <c r="E43" s="16" t="inlineStr">
        <is>
          <t>Ban Video &amp; Truyền hình số</t>
        </is>
      </c>
      <c r="F43" s="16" t="inlineStr">
        <is>
          <t>Nhóm Thu Trang</t>
        </is>
      </c>
      <c r="G43" s="16" t="inlineStr">
        <is>
          <t>Podcast / Audio</t>
        </is>
      </c>
      <c r="H43" s="16" t="inlineStr">
        <is>
          <t>Podcast Chuyên sâu (20p)</t>
        </is>
      </c>
      <c r="I43" s="16" t="inlineStr">
        <is>
          <t>Giáo dục &amp; Tuyển sinh</t>
        </is>
      </c>
      <c r="J43" s="16" t="inlineStr">
        <is>
          <t>Hỗ trợ sâu (40%)</t>
        </is>
      </c>
      <c r="K43" s="17" t="n">
        <v>48738</v>
      </c>
      <c r="L43" s="17" t="n">
        <v>2227</v>
      </c>
      <c r="M43" s="18">
        <f>L43/K43</f>
        <v/>
      </c>
      <c r="N43" s="17" t="n">
        <v>374</v>
      </c>
      <c r="O43" s="18" t="n">
        <v>0.4923</v>
      </c>
      <c r="P43" s="17" t="n">
        <v>850000</v>
      </c>
      <c r="Q43" s="17" t="n">
        <v>2150000</v>
      </c>
      <c r="R43" s="17">
        <f>Q43-P43</f>
        <v/>
      </c>
      <c r="S43" s="18">
        <f>(Q43-P43)/P43</f>
        <v/>
      </c>
      <c r="T43" s="14">
        <f>IF(AND(K43&gt;=50000, S43&gt;=0.35), "Vượt KPI", IF(AND(K43&gt;=20000, S43&gt;=0), "Đạt KPI", "Chưa đạt KPI"))</f>
        <v/>
      </c>
    </row>
    <row r="44">
      <c r="A44" s="10" t="inlineStr">
        <is>
          <t>SP-0041</t>
        </is>
      </c>
      <c r="B44" s="11" t="n">
        <v>46062</v>
      </c>
      <c r="C44" s="10" t="inlineStr">
        <is>
          <t>Tháng 02/2026</t>
        </is>
      </c>
      <c r="D44" s="10" t="inlineStr">
        <is>
          <t>Quý 1</t>
        </is>
      </c>
      <c r="E44" s="5" t="inlineStr">
        <is>
          <t>Ban Công nghệ &amp; AI</t>
        </is>
      </c>
      <c r="F44" s="5" t="inlineStr">
        <is>
          <t>Nhóm Gia Hưng</t>
        </is>
      </c>
      <c r="G44" s="5" t="inlineStr">
        <is>
          <t>Facebook Page</t>
        </is>
      </c>
      <c r="H44" s="5" t="inlineStr">
        <is>
          <t>Photo Story / Carousel</t>
        </is>
      </c>
      <c r="I44" s="5" t="inlineStr">
        <is>
          <t>Công nghệ &amp; AI</t>
        </is>
      </c>
      <c r="J44" s="5" t="inlineStr">
        <is>
          <t>Thủ công (0%)</t>
        </is>
      </c>
      <c r="K44" s="12" t="n">
        <v>362222</v>
      </c>
      <c r="L44" s="12" t="n">
        <v>8729</v>
      </c>
      <c r="M44" s="13">
        <f>L44/K44</f>
        <v/>
      </c>
      <c r="N44" s="12" t="n">
        <v>64</v>
      </c>
      <c r="O44" s="13" t="n">
        <v>0.4621</v>
      </c>
      <c r="P44" s="12" t="n">
        <v>4600000</v>
      </c>
      <c r="Q44" s="12" t="n">
        <v>4550000</v>
      </c>
      <c r="R44" s="12">
        <f>Q44-P44</f>
        <v/>
      </c>
      <c r="S44" s="13">
        <f>(Q44-P44)/P44</f>
        <v/>
      </c>
      <c r="T44" s="10">
        <f>IF(AND(K44&gt;=50000, S44&gt;=0.35), "Vượt KPI", IF(AND(K44&gt;=20000, S44&gt;=0), "Đạt KPI", "Chưa đạt KPI"))</f>
        <v/>
      </c>
    </row>
    <row r="45">
      <c r="A45" s="14" t="inlineStr">
        <is>
          <t>SP-0042</t>
        </is>
      </c>
      <c r="B45" s="15" t="n">
        <v>46198</v>
      </c>
      <c r="C45" s="14" t="inlineStr">
        <is>
          <t>Tháng 06/2026</t>
        </is>
      </c>
      <c r="D45" s="14" t="inlineStr">
        <is>
          <t>Quý 2</t>
        </is>
      </c>
      <c r="E45" s="16" t="inlineStr">
        <is>
          <t>Ban Đời sống - Giới trẻ</t>
        </is>
      </c>
      <c r="F45" s="16" t="inlineStr">
        <is>
          <t>Nhóm Bảo Ngọc</t>
        </is>
      </c>
      <c r="G45" s="16" t="inlineStr">
        <is>
          <t>TikTok</t>
        </is>
      </c>
      <c r="H45" s="16" t="inlineStr">
        <is>
          <t>TikTok Reel (1-3p)</t>
        </is>
      </c>
      <c r="I45" s="16" t="inlineStr">
        <is>
          <t>Chính sách &amp; Pháp luật</t>
        </is>
      </c>
      <c r="J45" s="16" t="inlineStr">
        <is>
          <t>Thủ công (0%)</t>
        </is>
      </c>
      <c r="K45" s="17" t="n">
        <v>385443</v>
      </c>
      <c r="L45" s="17" t="n">
        <v>33957</v>
      </c>
      <c r="M45" s="18">
        <f>L45/K45</f>
        <v/>
      </c>
      <c r="N45" s="17" t="n">
        <v>29</v>
      </c>
      <c r="O45" s="18" t="n">
        <v>0.5081</v>
      </c>
      <c r="P45" s="17" t="n">
        <v>3950000</v>
      </c>
      <c r="Q45" s="17" t="n">
        <v>8850000</v>
      </c>
      <c r="R45" s="17">
        <f>Q45-P45</f>
        <v/>
      </c>
      <c r="S45" s="18">
        <f>(Q45-P45)/P45</f>
        <v/>
      </c>
      <c r="T45" s="14">
        <f>IF(AND(K45&gt;=50000, S45&gt;=0.35), "Vượt KPI", IF(AND(K45&gt;=20000, S45&gt;=0), "Đạt KPI", "Chưa đạt KPI"))</f>
        <v/>
      </c>
    </row>
    <row r="46">
      <c r="A46" s="10" t="inlineStr">
        <is>
          <t>SP-0043</t>
        </is>
      </c>
      <c r="B46" s="11" t="n">
        <v>46164</v>
      </c>
      <c r="C46" s="10" t="inlineStr">
        <is>
          <t>Tháng 05/2026</t>
        </is>
      </c>
      <c r="D46" s="10" t="inlineStr">
        <is>
          <t>Quý 2</t>
        </is>
      </c>
      <c r="E46" s="5" t="inlineStr">
        <is>
          <t>Ban Công nghệ &amp; AI</t>
        </is>
      </c>
      <c r="F46" s="5" t="inlineStr">
        <is>
          <t>Nhóm Tuấn Kiệt</t>
        </is>
      </c>
      <c r="G46" s="5" t="inlineStr">
        <is>
          <t>Facebook Page</t>
        </is>
      </c>
      <c r="H46" s="5" t="inlineStr">
        <is>
          <t>Facebook Reels</t>
        </is>
      </c>
      <c r="I46" s="5" t="inlineStr">
        <is>
          <t>Kinh tế - Thị trường</t>
        </is>
      </c>
      <c r="J46" s="5" t="inlineStr">
        <is>
          <t>Cơ bản (15%)</t>
        </is>
      </c>
      <c r="K46" s="12" t="n">
        <v>591718</v>
      </c>
      <c r="L46" s="12" t="n">
        <v>20769</v>
      </c>
      <c r="M46" s="13">
        <f>L46/K46</f>
        <v/>
      </c>
      <c r="N46" s="12" t="n">
        <v>69</v>
      </c>
      <c r="O46" s="13" t="n">
        <v>0.5361</v>
      </c>
      <c r="P46" s="12" t="n">
        <v>2000000</v>
      </c>
      <c r="Q46" s="12" t="n">
        <v>5450000</v>
      </c>
      <c r="R46" s="12">
        <f>Q46-P46</f>
        <v/>
      </c>
      <c r="S46" s="13">
        <f>(Q46-P46)/P46</f>
        <v/>
      </c>
      <c r="T46" s="10">
        <f>IF(AND(K46&gt;=50000, S46&gt;=0.35), "Vượt KPI", IF(AND(K46&gt;=20000, S46&gt;=0), "Đạt KPI", "Chưa đạt KPI"))</f>
        <v/>
      </c>
    </row>
    <row r="47">
      <c r="A47" s="14" t="inlineStr">
        <is>
          <t>SP-0044</t>
        </is>
      </c>
      <c r="B47" s="15" t="n">
        <v>46028</v>
      </c>
      <c r="C47" s="14" t="inlineStr">
        <is>
          <t>Tháng 01/2026</t>
        </is>
      </c>
      <c r="D47" s="14" t="inlineStr">
        <is>
          <t>Quý 1</t>
        </is>
      </c>
      <c r="E47" s="16" t="inlineStr">
        <is>
          <t>Ban Đời sống - Giới trẻ</t>
        </is>
      </c>
      <c r="F47" s="16" t="inlineStr">
        <is>
          <t>Nhóm Phương Thảo</t>
        </is>
      </c>
      <c r="G47" s="16" t="inlineStr">
        <is>
          <t>YouTube</t>
        </is>
      </c>
      <c r="H47" s="16" t="inlineStr">
        <is>
          <t>YouTube Shorts</t>
        </is>
      </c>
      <c r="I47" s="16" t="inlineStr">
        <is>
          <t>Công nghệ &amp; AI</t>
        </is>
      </c>
      <c r="J47" s="16" t="inlineStr">
        <is>
          <t>Thủ công (0%)</t>
        </is>
      </c>
      <c r="K47" s="17" t="n">
        <v>564419</v>
      </c>
      <c r="L47" s="17" t="n">
        <v>24777</v>
      </c>
      <c r="M47" s="18">
        <f>L47/K47</f>
        <v/>
      </c>
      <c r="N47" s="17" t="n">
        <v>423</v>
      </c>
      <c r="O47" s="18" t="n">
        <v>0.6347</v>
      </c>
      <c r="P47" s="17" t="n">
        <v>4500000</v>
      </c>
      <c r="Q47" s="17" t="n">
        <v>13300000</v>
      </c>
      <c r="R47" s="17">
        <f>Q47-P47</f>
        <v/>
      </c>
      <c r="S47" s="18">
        <f>(Q47-P47)/P47</f>
        <v/>
      </c>
      <c r="T47" s="14">
        <f>IF(AND(K47&gt;=50000, S47&gt;=0.35), "Vượt KPI", IF(AND(K47&gt;=20000, S47&gt;=0), "Đạt KPI", "Chưa đạt KPI"))</f>
        <v/>
      </c>
    </row>
    <row r="48">
      <c r="A48" s="10" t="inlineStr">
        <is>
          <t>SP-0045</t>
        </is>
      </c>
      <c r="B48" s="11" t="n">
        <v>46178</v>
      </c>
      <c r="C48" s="10" t="inlineStr">
        <is>
          <t>Tháng 06/2026</t>
        </is>
      </c>
      <c r="D48" s="10" t="inlineStr">
        <is>
          <t>Quý 2</t>
        </is>
      </c>
      <c r="E48" s="5" t="inlineStr">
        <is>
          <t>Ban Đời sống - Giới trẻ</t>
        </is>
      </c>
      <c r="F48" s="5" t="inlineStr">
        <is>
          <t>Nhóm Duy Khánh</t>
        </is>
      </c>
      <c r="G48" s="5" t="inlineStr">
        <is>
          <t>TikTok</t>
        </is>
      </c>
      <c r="H48" s="5" t="inlineStr">
        <is>
          <t>Short Video (&lt;60s)</t>
        </is>
      </c>
      <c r="I48" s="5" t="inlineStr">
        <is>
          <t>Phóng sự Điều tra</t>
        </is>
      </c>
      <c r="J48" s="5" t="inlineStr">
        <is>
          <t>Toàn trình (70%)</t>
        </is>
      </c>
      <c r="K48" s="12" t="n">
        <v>764406</v>
      </c>
      <c r="L48" s="12" t="n">
        <v>84161</v>
      </c>
      <c r="M48" s="13">
        <f>L48/K48</f>
        <v/>
      </c>
      <c r="N48" s="12" t="n">
        <v>37</v>
      </c>
      <c r="O48" s="13" t="n">
        <v>0.6974</v>
      </c>
      <c r="P48" s="12" t="n">
        <v>1200000</v>
      </c>
      <c r="Q48" s="12" t="n">
        <v>2850000</v>
      </c>
      <c r="R48" s="12">
        <f>Q48-P48</f>
        <v/>
      </c>
      <c r="S48" s="13">
        <f>(Q48-P48)/P48</f>
        <v/>
      </c>
      <c r="T48" s="10">
        <f>IF(AND(K48&gt;=50000, S48&gt;=0.35), "Vượt KPI", IF(AND(K48&gt;=20000, S48&gt;=0), "Đạt KPI", "Chưa đạt KPI"))</f>
        <v/>
      </c>
    </row>
    <row r="49">
      <c r="A49" s="14" t="inlineStr">
        <is>
          <t>SP-0046</t>
        </is>
      </c>
      <c r="B49" s="15" t="n">
        <v>46095</v>
      </c>
      <c r="C49" s="14" t="inlineStr">
        <is>
          <t>Tháng 03/2026</t>
        </is>
      </c>
      <c r="D49" s="14" t="inlineStr">
        <is>
          <t>Quý 1</t>
        </is>
      </c>
      <c r="E49" s="16" t="inlineStr">
        <is>
          <t>Ban Thời sự - Chính trị</t>
        </is>
      </c>
      <c r="F49" s="16" t="inlineStr">
        <is>
          <t>Nhóm Quang Huy</t>
        </is>
      </c>
      <c r="G49" s="16" t="inlineStr">
        <is>
          <t>TikTok</t>
        </is>
      </c>
      <c r="H49" s="16" t="inlineStr">
        <is>
          <t>TikTok Reel (1-3p)</t>
        </is>
      </c>
      <c r="I49" s="16" t="inlineStr">
        <is>
          <t>Kinh tế - Thị trường</t>
        </is>
      </c>
      <c r="J49" s="16" t="inlineStr">
        <is>
          <t>Hỗ trợ sâu (40%)</t>
        </is>
      </c>
      <c r="K49" s="17" t="n">
        <v>666765</v>
      </c>
      <c r="L49" s="17" t="n">
        <v>68476</v>
      </c>
      <c r="M49" s="18">
        <f>L49/K49</f>
        <v/>
      </c>
      <c r="N49" s="17" t="n">
        <v>53</v>
      </c>
      <c r="O49" s="18" t="n">
        <v>0.5024999999999999</v>
      </c>
      <c r="P49" s="17" t="n">
        <v>1050000</v>
      </c>
      <c r="Q49" s="17" t="n">
        <v>2950000</v>
      </c>
      <c r="R49" s="17">
        <f>Q49-P49</f>
        <v/>
      </c>
      <c r="S49" s="18">
        <f>(Q49-P49)/P49</f>
        <v/>
      </c>
      <c r="T49" s="14">
        <f>IF(AND(K49&gt;=50000, S49&gt;=0.35), "Vượt KPI", IF(AND(K49&gt;=20000, S49&gt;=0), "Đạt KPI", "Chưa đạt KPI"))</f>
        <v/>
      </c>
    </row>
    <row r="50">
      <c r="A50" s="10" t="inlineStr">
        <is>
          <t>SP-0047</t>
        </is>
      </c>
      <c r="B50" s="11" t="n">
        <v>46191</v>
      </c>
      <c r="C50" s="10" t="inlineStr">
        <is>
          <t>Tháng 06/2026</t>
        </is>
      </c>
      <c r="D50" s="10" t="inlineStr">
        <is>
          <t>Quý 2</t>
        </is>
      </c>
      <c r="E50" s="5" t="inlineStr">
        <is>
          <t>Ban Công nghệ &amp; AI</t>
        </is>
      </c>
      <c r="F50" s="5" t="inlineStr">
        <is>
          <t>Nhóm Ngọc Ánh</t>
        </is>
      </c>
      <c r="G50" s="5" t="inlineStr">
        <is>
          <t>TikTok</t>
        </is>
      </c>
      <c r="H50" s="5" t="inlineStr">
        <is>
          <t>Short Video (&lt;60s)</t>
        </is>
      </c>
      <c r="I50" s="5" t="inlineStr">
        <is>
          <t>Giáo dục &amp; Tuyển sinh</t>
        </is>
      </c>
      <c r="J50" s="5" t="inlineStr">
        <is>
          <t>Toàn trình (70%)</t>
        </is>
      </c>
      <c r="K50" s="12" t="n">
        <v>1521828</v>
      </c>
      <c r="L50" s="12" t="n">
        <v>151117</v>
      </c>
      <c r="M50" s="13">
        <f>L50/K50</f>
        <v/>
      </c>
      <c r="N50" s="12" t="n">
        <v>70</v>
      </c>
      <c r="O50" s="13" t="n">
        <v>0.41</v>
      </c>
      <c r="P50" s="12" t="n">
        <v>900000</v>
      </c>
      <c r="Q50" s="12" t="n">
        <v>5150000</v>
      </c>
      <c r="R50" s="12">
        <f>Q50-P50</f>
        <v/>
      </c>
      <c r="S50" s="13">
        <f>(Q50-P50)/P50</f>
        <v/>
      </c>
      <c r="T50" s="10">
        <f>IF(AND(K50&gt;=50000, S50&gt;=0.35), "Vượt KPI", IF(AND(K50&gt;=20000, S50&gt;=0), "Đạt KPI", "Chưa đạt KPI"))</f>
        <v/>
      </c>
    </row>
    <row r="51">
      <c r="A51" s="14" t="inlineStr">
        <is>
          <t>SP-0048</t>
        </is>
      </c>
      <c r="B51" s="15" t="n">
        <v>46099</v>
      </c>
      <c r="C51" s="14" t="inlineStr">
        <is>
          <t>Tháng 03/2026</t>
        </is>
      </c>
      <c r="D51" s="14" t="inlineStr">
        <is>
          <t>Quý 1</t>
        </is>
      </c>
      <c r="E51" s="16" t="inlineStr">
        <is>
          <t>Ban Thời sự - Chính trị</t>
        </is>
      </c>
      <c r="F51" s="16" t="inlineStr">
        <is>
          <t>Nhóm Việt Anh</t>
        </is>
      </c>
      <c r="G51" s="16" t="inlineStr">
        <is>
          <t>Facebook Page</t>
        </is>
      </c>
      <c r="H51" s="16" t="inlineStr">
        <is>
          <t>Photo Story / Carousel</t>
        </is>
      </c>
      <c r="I51" s="16" t="inlineStr">
        <is>
          <t>Giáo dục &amp; Tuyển sinh</t>
        </is>
      </c>
      <c r="J51" s="16" t="inlineStr">
        <is>
          <t>Hỗ trợ sâu (40%)</t>
        </is>
      </c>
      <c r="K51" s="17" t="n">
        <v>821740</v>
      </c>
      <c r="L51" s="17" t="n">
        <v>41990</v>
      </c>
      <c r="M51" s="18">
        <f>L51/K51</f>
        <v/>
      </c>
      <c r="N51" s="17" t="n">
        <v>103</v>
      </c>
      <c r="O51" s="18" t="n">
        <v>0.5444</v>
      </c>
      <c r="P51" s="17" t="n">
        <v>1450000</v>
      </c>
      <c r="Q51" s="17" t="n">
        <v>5050000</v>
      </c>
      <c r="R51" s="17">
        <f>Q51-P51</f>
        <v/>
      </c>
      <c r="S51" s="18">
        <f>(Q51-P51)/P51</f>
        <v/>
      </c>
      <c r="T51" s="14">
        <f>IF(AND(K51&gt;=50000, S51&gt;=0.35), "Vượt KPI", IF(AND(K51&gt;=20000, S51&gt;=0), "Đạt KPI", "Chưa đạt KPI"))</f>
        <v/>
      </c>
    </row>
    <row r="52">
      <c r="A52" s="10" t="inlineStr">
        <is>
          <t>SP-0049</t>
        </is>
      </c>
      <c r="B52" s="11" t="n">
        <v>46030</v>
      </c>
      <c r="C52" s="10" t="inlineStr">
        <is>
          <t>Tháng 01/2026</t>
        </is>
      </c>
      <c r="D52" s="10" t="inlineStr">
        <is>
          <t>Quý 1</t>
        </is>
      </c>
      <c r="E52" s="5" t="inlineStr">
        <is>
          <t>Ban Kinh tế - Tài chính</t>
        </is>
      </c>
      <c r="F52" s="5" t="inlineStr">
        <is>
          <t>Nhóm Lan Hương</t>
        </is>
      </c>
      <c r="G52" s="5" t="inlineStr">
        <is>
          <t>YouTube</t>
        </is>
      </c>
      <c r="H52" s="5" t="inlineStr">
        <is>
          <t>YouTube Shorts</t>
        </is>
      </c>
      <c r="I52" s="5" t="inlineStr">
        <is>
          <t>Chính sách &amp; Pháp luật</t>
        </is>
      </c>
      <c r="J52" s="5" t="inlineStr">
        <is>
          <t>Toàn trình (70%)</t>
        </is>
      </c>
      <c r="K52" s="12" t="n">
        <v>414672</v>
      </c>
      <c r="L52" s="12" t="n">
        <v>26082</v>
      </c>
      <c r="M52" s="13">
        <f>L52/K52</f>
        <v/>
      </c>
      <c r="N52" s="12" t="n">
        <v>599</v>
      </c>
      <c r="O52" s="13" t="n">
        <v>0.7917999999999999</v>
      </c>
      <c r="P52" s="12" t="n">
        <v>2550000</v>
      </c>
      <c r="Q52" s="12" t="n">
        <v>7850000</v>
      </c>
      <c r="R52" s="12">
        <f>Q52-P52</f>
        <v/>
      </c>
      <c r="S52" s="13">
        <f>(Q52-P52)/P52</f>
        <v/>
      </c>
      <c r="T52" s="10">
        <f>IF(AND(K52&gt;=50000, S52&gt;=0.35), "Vượt KPI", IF(AND(K52&gt;=20000, S52&gt;=0), "Đạt KPI", "Chưa đạt KPI"))</f>
        <v/>
      </c>
    </row>
    <row r="53">
      <c r="A53" s="14" t="inlineStr">
        <is>
          <t>SP-0050</t>
        </is>
      </c>
      <c r="B53" s="15" t="n">
        <v>46169</v>
      </c>
      <c r="C53" s="14" t="inlineStr">
        <is>
          <t>Tháng 05/2026</t>
        </is>
      </c>
      <c r="D53" s="14" t="inlineStr">
        <is>
          <t>Quý 2</t>
        </is>
      </c>
      <c r="E53" s="16" t="inlineStr">
        <is>
          <t>Ban Công nghệ &amp; AI</t>
        </is>
      </c>
      <c r="F53" s="16" t="inlineStr">
        <is>
          <t>Nhóm Tuấn Kiệt</t>
        </is>
      </c>
      <c r="G53" s="16" t="inlineStr">
        <is>
          <t>Facebook Page</t>
        </is>
      </c>
      <c r="H53" s="16" t="inlineStr">
        <is>
          <t>Video Bản tin (3-5p)</t>
        </is>
      </c>
      <c r="I53" s="16" t="inlineStr">
        <is>
          <t>Công nghệ &amp; AI</t>
        </is>
      </c>
      <c r="J53" s="16" t="inlineStr">
        <is>
          <t>Toàn trình (70%)</t>
        </is>
      </c>
      <c r="K53" s="17" t="n">
        <v>74167</v>
      </c>
      <c r="L53" s="17" t="n">
        <v>4487</v>
      </c>
      <c r="M53" s="18">
        <f>L53/K53</f>
        <v/>
      </c>
      <c r="N53" s="17" t="n">
        <v>99</v>
      </c>
      <c r="O53" s="18" t="n">
        <v>0.4071</v>
      </c>
      <c r="P53" s="17" t="n">
        <v>2550000</v>
      </c>
      <c r="Q53" s="17" t="n">
        <v>12250000</v>
      </c>
      <c r="R53" s="17">
        <f>Q53-P53</f>
        <v/>
      </c>
      <c r="S53" s="18">
        <f>(Q53-P53)/P53</f>
        <v/>
      </c>
      <c r="T53" s="14">
        <f>IF(AND(K53&gt;=50000, S53&gt;=0.35), "Vượt KPI", IF(AND(K53&gt;=20000, S53&gt;=0), "Đạt KPI", "Chưa đạt KPI"))</f>
        <v/>
      </c>
    </row>
    <row r="54">
      <c r="A54" s="10" t="inlineStr">
        <is>
          <t>SP-0051</t>
        </is>
      </c>
      <c r="B54" s="11" t="n">
        <v>46117</v>
      </c>
      <c r="C54" s="10" t="inlineStr">
        <is>
          <t>Tháng 04/2026</t>
        </is>
      </c>
      <c r="D54" s="10" t="inlineStr">
        <is>
          <t>Quý 2</t>
        </is>
      </c>
      <c r="E54" s="5" t="inlineStr">
        <is>
          <t>Ban Kinh tế - Tài chính</t>
        </is>
      </c>
      <c r="F54" s="5" t="inlineStr">
        <is>
          <t>Nhóm Minh Tuấn</t>
        </is>
      </c>
      <c r="G54" s="5" t="inlineStr">
        <is>
          <t>TikTok</t>
        </is>
      </c>
      <c r="H54" s="5" t="inlineStr">
        <is>
          <t>TikTok Reel (1-3p)</t>
        </is>
      </c>
      <c r="I54" s="5" t="inlineStr">
        <is>
          <t>Kinh tế - Thị trường</t>
        </is>
      </c>
      <c r="J54" s="5" t="inlineStr">
        <is>
          <t>Toàn trình (70%)</t>
        </is>
      </c>
      <c r="K54" s="12" t="n">
        <v>886203</v>
      </c>
      <c r="L54" s="12" t="n">
        <v>43158</v>
      </c>
      <c r="M54" s="13">
        <f>L54/K54</f>
        <v/>
      </c>
      <c r="N54" s="12" t="n">
        <v>92</v>
      </c>
      <c r="O54" s="13" t="n">
        <v>0.6956</v>
      </c>
      <c r="P54" s="12" t="n">
        <v>1500000</v>
      </c>
      <c r="Q54" s="12" t="n">
        <v>6300000</v>
      </c>
      <c r="R54" s="12">
        <f>Q54-P54</f>
        <v/>
      </c>
      <c r="S54" s="13">
        <f>(Q54-P54)/P54</f>
        <v/>
      </c>
      <c r="T54" s="10">
        <f>IF(AND(K54&gt;=50000, S54&gt;=0.35), "Vượt KPI", IF(AND(K54&gt;=20000, S54&gt;=0), "Đạt KPI", "Chưa đạt KPI"))</f>
        <v/>
      </c>
    </row>
    <row r="55">
      <c r="A55" s="14" t="inlineStr">
        <is>
          <t>SP-0052</t>
        </is>
      </c>
      <c r="B55" s="15" t="n">
        <v>46086</v>
      </c>
      <c r="C55" s="14" t="inlineStr">
        <is>
          <t>Tháng 03/2026</t>
        </is>
      </c>
      <c r="D55" s="14" t="inlineStr">
        <is>
          <t>Quý 1</t>
        </is>
      </c>
      <c r="E55" s="16" t="inlineStr">
        <is>
          <t>Ban Kinh tế - Tài chính</t>
        </is>
      </c>
      <c r="F55" s="16" t="inlineStr">
        <is>
          <t>Nhóm Lan Hương</t>
        </is>
      </c>
      <c r="G55" s="16" t="inlineStr">
        <is>
          <t>TikTok</t>
        </is>
      </c>
      <c r="H55" s="16" t="inlineStr">
        <is>
          <t>TikTok Reel (1-3p)</t>
        </is>
      </c>
      <c r="I55" s="16" t="inlineStr">
        <is>
          <t>Chính sách &amp; Pháp luật</t>
        </is>
      </c>
      <c r="J55" s="16" t="inlineStr">
        <is>
          <t>Hỗ trợ sâu (40%)</t>
        </is>
      </c>
      <c r="K55" s="17" t="n">
        <v>121710</v>
      </c>
      <c r="L55" s="17" t="n">
        <v>8519</v>
      </c>
      <c r="M55" s="18">
        <f>L55/K55</f>
        <v/>
      </c>
      <c r="N55" s="17" t="n">
        <v>21</v>
      </c>
      <c r="O55" s="18" t="n">
        <v>0.4533</v>
      </c>
      <c r="P55" s="17" t="n">
        <v>1000000</v>
      </c>
      <c r="Q55" s="17" t="n">
        <v>650000</v>
      </c>
      <c r="R55" s="17">
        <f>Q55-P55</f>
        <v/>
      </c>
      <c r="S55" s="18">
        <f>(Q55-P55)/P55</f>
        <v/>
      </c>
      <c r="T55" s="14">
        <f>IF(AND(K55&gt;=50000, S55&gt;=0.35), "Vượt KPI", IF(AND(K55&gt;=20000, S55&gt;=0), "Đạt KPI", "Chưa đạt KPI"))</f>
        <v/>
      </c>
    </row>
    <row r="56">
      <c r="A56" s="10" t="inlineStr">
        <is>
          <t>SP-0053</t>
        </is>
      </c>
      <c r="B56" s="11" t="n">
        <v>46098</v>
      </c>
      <c r="C56" s="10" t="inlineStr">
        <is>
          <t>Tháng 03/2026</t>
        </is>
      </c>
      <c r="D56" s="10" t="inlineStr">
        <is>
          <t>Quý 1</t>
        </is>
      </c>
      <c r="E56" s="5" t="inlineStr">
        <is>
          <t>Ban Video &amp; Truyền hình số</t>
        </is>
      </c>
      <c r="F56" s="5" t="inlineStr">
        <is>
          <t>Nhóm Quốc Bảo</t>
        </is>
      </c>
      <c r="G56" s="5" t="inlineStr">
        <is>
          <t>Podcast / Audio</t>
        </is>
      </c>
      <c r="H56" s="5" t="inlineStr">
        <is>
          <t>Điểm tin Audio AI (5p)</t>
        </is>
      </c>
      <c r="I56" s="5" t="inlineStr">
        <is>
          <t>Tài chính Cá nhân &amp; Đầu tư</t>
        </is>
      </c>
      <c r="J56" s="5" t="inlineStr">
        <is>
          <t>Toàn trình (70%)</t>
        </is>
      </c>
      <c r="K56" s="12" t="n">
        <v>57607</v>
      </c>
      <c r="L56" s="12" t="n">
        <v>1854</v>
      </c>
      <c r="M56" s="13">
        <f>L56/K56</f>
        <v/>
      </c>
      <c r="N56" s="12" t="n">
        <v>312</v>
      </c>
      <c r="O56" s="13" t="n">
        <v>0.592</v>
      </c>
      <c r="P56" s="12" t="n">
        <v>900000</v>
      </c>
      <c r="Q56" s="12" t="n">
        <v>2150000</v>
      </c>
      <c r="R56" s="12">
        <f>Q56-P56</f>
        <v/>
      </c>
      <c r="S56" s="13">
        <f>(Q56-P56)/P56</f>
        <v/>
      </c>
      <c r="T56" s="10">
        <f>IF(AND(K56&gt;=50000, S56&gt;=0.35), "Vượt KPI", IF(AND(K56&gt;=20000, S56&gt;=0), "Đạt KPI", "Chưa đạt KPI"))</f>
        <v/>
      </c>
    </row>
    <row r="57">
      <c r="A57" s="14" t="inlineStr">
        <is>
          <t>SP-0054</t>
        </is>
      </c>
      <c r="B57" s="15" t="n">
        <v>46042</v>
      </c>
      <c r="C57" s="14" t="inlineStr">
        <is>
          <t>Tháng 01/2026</t>
        </is>
      </c>
      <c r="D57" s="14" t="inlineStr">
        <is>
          <t>Quý 1</t>
        </is>
      </c>
      <c r="E57" s="16" t="inlineStr">
        <is>
          <t>Ban Công nghệ &amp; AI</t>
        </is>
      </c>
      <c r="F57" s="16" t="inlineStr">
        <is>
          <t>Nhóm Tuấn Kiệt</t>
        </is>
      </c>
      <c r="G57" s="16" t="inlineStr">
        <is>
          <t>Podcast / Audio</t>
        </is>
      </c>
      <c r="H57" s="16" t="inlineStr">
        <is>
          <t>Podcast Chuyên sâu (20p)</t>
        </is>
      </c>
      <c r="I57" s="16" t="inlineStr">
        <is>
          <t>Giáo dục &amp; Tuyển sinh</t>
        </is>
      </c>
      <c r="J57" s="16" t="inlineStr">
        <is>
          <t>Hỗ trợ sâu (40%)</t>
        </is>
      </c>
      <c r="K57" s="17" t="n">
        <v>46557</v>
      </c>
      <c r="L57" s="17" t="n">
        <v>1280</v>
      </c>
      <c r="M57" s="18">
        <f>L57/K57</f>
        <v/>
      </c>
      <c r="N57" s="17" t="n">
        <v>256</v>
      </c>
      <c r="O57" s="18" t="n">
        <v>0.5207000000000001</v>
      </c>
      <c r="P57" s="17" t="n">
        <v>700000</v>
      </c>
      <c r="Q57" s="17" t="n">
        <v>2950000</v>
      </c>
      <c r="R57" s="17">
        <f>Q57-P57</f>
        <v/>
      </c>
      <c r="S57" s="18">
        <f>(Q57-P57)/P57</f>
        <v/>
      </c>
      <c r="T57" s="14">
        <f>IF(AND(K57&gt;=50000, S57&gt;=0.35), "Vượt KPI", IF(AND(K57&gt;=20000, S57&gt;=0), "Đạt KPI", "Chưa đạt KPI"))</f>
        <v/>
      </c>
    </row>
    <row r="58">
      <c r="A58" s="10" t="inlineStr">
        <is>
          <t>SP-0055</t>
        </is>
      </c>
      <c r="B58" s="11" t="n">
        <v>46029</v>
      </c>
      <c r="C58" s="10" t="inlineStr">
        <is>
          <t>Tháng 01/2026</t>
        </is>
      </c>
      <c r="D58" s="10" t="inlineStr">
        <is>
          <t>Quý 1</t>
        </is>
      </c>
      <c r="E58" s="5" t="inlineStr">
        <is>
          <t>Ban Video &amp; Truyền hình số</t>
        </is>
      </c>
      <c r="F58" s="5" t="inlineStr">
        <is>
          <t>Nhóm Thu Trang</t>
        </is>
      </c>
      <c r="G58" s="5" t="inlineStr">
        <is>
          <t>Báo Điện tử (Web)</t>
        </is>
      </c>
      <c r="H58" s="5" t="inlineStr">
        <is>
          <t>Longform / E-magazine</t>
        </is>
      </c>
      <c r="I58" s="5" t="inlineStr">
        <is>
          <t>Đời sống - Xã hội</t>
        </is>
      </c>
      <c r="J58" s="5" t="inlineStr">
        <is>
          <t>Hỗ trợ sâu (40%)</t>
        </is>
      </c>
      <c r="K58" s="12" t="n">
        <v>104303</v>
      </c>
      <c r="L58" s="12" t="n">
        <v>4234</v>
      </c>
      <c r="M58" s="13">
        <f>L58/K58</f>
        <v/>
      </c>
      <c r="N58" s="12" t="n">
        <v>303</v>
      </c>
      <c r="O58" s="13" t="n">
        <v>0.3613</v>
      </c>
      <c r="P58" s="12" t="n">
        <v>3800000</v>
      </c>
      <c r="Q58" s="12" t="n">
        <v>8950000</v>
      </c>
      <c r="R58" s="12">
        <f>Q58-P58</f>
        <v/>
      </c>
      <c r="S58" s="13">
        <f>(Q58-P58)/P58</f>
        <v/>
      </c>
      <c r="T58" s="10">
        <f>IF(AND(K58&gt;=50000, S58&gt;=0.35), "Vượt KPI", IF(AND(K58&gt;=20000, S58&gt;=0), "Đạt KPI", "Chưa đạt KPI"))</f>
        <v/>
      </c>
    </row>
    <row r="59">
      <c r="A59" s="14" t="inlineStr">
        <is>
          <t>SP-0056</t>
        </is>
      </c>
      <c r="B59" s="15" t="n">
        <v>46037</v>
      </c>
      <c r="C59" s="14" t="inlineStr">
        <is>
          <t>Tháng 01/2026</t>
        </is>
      </c>
      <c r="D59" s="14" t="inlineStr">
        <is>
          <t>Quý 1</t>
        </is>
      </c>
      <c r="E59" s="16" t="inlineStr">
        <is>
          <t>Ban Công nghệ &amp; AI</t>
        </is>
      </c>
      <c r="F59" s="16" t="inlineStr">
        <is>
          <t>Nhóm Gia Hưng</t>
        </is>
      </c>
      <c r="G59" s="16" t="inlineStr">
        <is>
          <t>TikTok</t>
        </is>
      </c>
      <c r="H59" s="16" t="inlineStr">
        <is>
          <t>TikTok Reel (1-3p)</t>
        </is>
      </c>
      <c r="I59" s="16" t="inlineStr">
        <is>
          <t>Giáo dục &amp; Tuyển sinh</t>
        </is>
      </c>
      <c r="J59" s="16" t="inlineStr">
        <is>
          <t>Cơ bản (15%)</t>
        </is>
      </c>
      <c r="K59" s="17" t="n">
        <v>44497</v>
      </c>
      <c r="L59" s="17" t="n">
        <v>5059</v>
      </c>
      <c r="M59" s="18">
        <f>L59/K59</f>
        <v/>
      </c>
      <c r="N59" s="17" t="n">
        <v>32</v>
      </c>
      <c r="O59" s="18" t="n">
        <v>0.5805</v>
      </c>
      <c r="P59" s="17" t="n">
        <v>1950000</v>
      </c>
      <c r="Q59" s="17" t="n">
        <v>3650000</v>
      </c>
      <c r="R59" s="17">
        <f>Q59-P59</f>
        <v/>
      </c>
      <c r="S59" s="18">
        <f>(Q59-P59)/P59</f>
        <v/>
      </c>
      <c r="T59" s="14">
        <f>IF(AND(K59&gt;=50000, S59&gt;=0.35), "Vượt KPI", IF(AND(K59&gt;=20000, S59&gt;=0), "Đạt KPI", "Chưa đạt KPI"))</f>
        <v/>
      </c>
    </row>
    <row r="60">
      <c r="A60" s="10" t="inlineStr">
        <is>
          <t>SP-0057</t>
        </is>
      </c>
      <c r="B60" s="11" t="n">
        <v>46029</v>
      </c>
      <c r="C60" s="10" t="inlineStr">
        <is>
          <t>Tháng 01/2026</t>
        </is>
      </c>
      <c r="D60" s="10" t="inlineStr">
        <is>
          <t>Quý 1</t>
        </is>
      </c>
      <c r="E60" s="5" t="inlineStr">
        <is>
          <t>Ban Video &amp; Truyền hình số</t>
        </is>
      </c>
      <c r="F60" s="5" t="inlineStr">
        <is>
          <t>Nhóm Thu Trang</t>
        </is>
      </c>
      <c r="G60" s="5" t="inlineStr">
        <is>
          <t>Báo Điện tử (Web)</t>
        </is>
      </c>
      <c r="H60" s="5" t="inlineStr">
        <is>
          <t>Longform / E-magazine</t>
        </is>
      </c>
      <c r="I60" s="5" t="inlineStr">
        <is>
          <t>Công nghệ &amp; AI</t>
        </is>
      </c>
      <c r="J60" s="5" t="inlineStr">
        <is>
          <t>Thủ công (0%)</t>
        </is>
      </c>
      <c r="K60" s="12" t="n">
        <v>26026</v>
      </c>
      <c r="L60" s="12" t="n">
        <v>1905</v>
      </c>
      <c r="M60" s="13">
        <f>L60/K60</f>
        <v/>
      </c>
      <c r="N60" s="12" t="n">
        <v>204</v>
      </c>
      <c r="O60" s="13" t="n">
        <v>0.5066000000000001</v>
      </c>
      <c r="P60" s="12" t="n">
        <v>4400000</v>
      </c>
      <c r="Q60" s="12" t="n">
        <v>7400000</v>
      </c>
      <c r="R60" s="12">
        <f>Q60-P60</f>
        <v/>
      </c>
      <c r="S60" s="13">
        <f>(Q60-P60)/P60</f>
        <v/>
      </c>
      <c r="T60" s="10">
        <f>IF(AND(K60&gt;=50000, S60&gt;=0.35), "Vượt KPI", IF(AND(K60&gt;=20000, S60&gt;=0), "Đạt KPI", "Chưa đạt KPI"))</f>
        <v/>
      </c>
    </row>
    <row r="61">
      <c r="A61" s="14" t="inlineStr">
        <is>
          <t>SP-0058</t>
        </is>
      </c>
      <c r="B61" s="15" t="n">
        <v>46034</v>
      </c>
      <c r="C61" s="14" t="inlineStr">
        <is>
          <t>Tháng 01/2026</t>
        </is>
      </c>
      <c r="D61" s="14" t="inlineStr">
        <is>
          <t>Quý 1</t>
        </is>
      </c>
      <c r="E61" s="16" t="inlineStr">
        <is>
          <t>Ban Thời sự - Chính trị</t>
        </is>
      </c>
      <c r="F61" s="16" t="inlineStr">
        <is>
          <t>Nhóm Việt Anh</t>
        </is>
      </c>
      <c r="G61" s="16" t="inlineStr">
        <is>
          <t>YouTube</t>
        </is>
      </c>
      <c r="H61" s="16" t="inlineStr">
        <is>
          <t>YouTube Long-form (10-25p)</t>
        </is>
      </c>
      <c r="I61" s="16" t="inlineStr">
        <is>
          <t>Kinh tế - Thị trường</t>
        </is>
      </c>
      <c r="J61" s="16" t="inlineStr">
        <is>
          <t>Toàn trình (70%)</t>
        </is>
      </c>
      <c r="K61" s="17" t="n">
        <v>287777</v>
      </c>
      <c r="L61" s="17" t="n">
        <v>18014</v>
      </c>
      <c r="M61" s="18">
        <f>L61/K61</f>
        <v/>
      </c>
      <c r="N61" s="17" t="n">
        <v>369</v>
      </c>
      <c r="O61" s="18" t="n">
        <v>0.6373</v>
      </c>
      <c r="P61" s="17" t="n">
        <v>3500000</v>
      </c>
      <c r="Q61" s="17" t="n">
        <v>10200000</v>
      </c>
      <c r="R61" s="17">
        <f>Q61-P61</f>
        <v/>
      </c>
      <c r="S61" s="18">
        <f>(Q61-P61)/P61</f>
        <v/>
      </c>
      <c r="T61" s="14">
        <f>IF(AND(K61&gt;=50000, S61&gt;=0.35), "Vượt KPI", IF(AND(K61&gt;=20000, S61&gt;=0), "Đạt KPI", "Chưa đạt KPI"))</f>
        <v/>
      </c>
    </row>
    <row r="62">
      <c r="A62" s="10" t="inlineStr">
        <is>
          <t>SP-0059</t>
        </is>
      </c>
      <c r="B62" s="11" t="n">
        <v>46155</v>
      </c>
      <c r="C62" s="10" t="inlineStr">
        <is>
          <t>Tháng 05/2026</t>
        </is>
      </c>
      <c r="D62" s="10" t="inlineStr">
        <is>
          <t>Quý 2</t>
        </is>
      </c>
      <c r="E62" s="5" t="inlineStr">
        <is>
          <t>Ban Kinh tế - Tài chính</t>
        </is>
      </c>
      <c r="F62" s="5" t="inlineStr">
        <is>
          <t>Nhóm Đức Thịnh</t>
        </is>
      </c>
      <c r="G62" s="5" t="inlineStr">
        <is>
          <t>Báo Điện tử (Web)</t>
        </is>
      </c>
      <c r="H62" s="5" t="inlineStr">
        <is>
          <t>Infographic / Mega Story</t>
        </is>
      </c>
      <c r="I62" s="5" t="inlineStr">
        <is>
          <t>Kinh tế - Thị trường</t>
        </is>
      </c>
      <c r="J62" s="5" t="inlineStr">
        <is>
          <t>Toàn trình (70%)</t>
        </is>
      </c>
      <c r="K62" s="12" t="n">
        <v>42178</v>
      </c>
      <c r="L62" s="12" t="n">
        <v>3247</v>
      </c>
      <c r="M62" s="13">
        <f>L62/K62</f>
        <v/>
      </c>
      <c r="N62" s="12" t="n">
        <v>315</v>
      </c>
      <c r="O62" s="13" t="n">
        <v>0.6124000000000001</v>
      </c>
      <c r="P62" s="12" t="n">
        <v>2600000</v>
      </c>
      <c r="Q62" s="12" t="n">
        <v>5950000</v>
      </c>
      <c r="R62" s="12">
        <f>Q62-P62</f>
        <v/>
      </c>
      <c r="S62" s="13">
        <f>(Q62-P62)/P62</f>
        <v/>
      </c>
      <c r="T62" s="10">
        <f>IF(AND(K62&gt;=50000, S62&gt;=0.35), "Vượt KPI", IF(AND(K62&gt;=20000, S62&gt;=0), "Đạt KPI", "Chưa đạt KPI"))</f>
        <v/>
      </c>
    </row>
    <row r="63">
      <c r="A63" s="14" t="inlineStr">
        <is>
          <t>SP-0060</t>
        </is>
      </c>
      <c r="B63" s="15" t="n">
        <v>46178</v>
      </c>
      <c r="C63" s="14" t="inlineStr">
        <is>
          <t>Tháng 06/2026</t>
        </is>
      </c>
      <c r="D63" s="14" t="inlineStr">
        <is>
          <t>Quý 2</t>
        </is>
      </c>
      <c r="E63" s="16" t="inlineStr">
        <is>
          <t>Ban Đời sống - Giới trẻ</t>
        </is>
      </c>
      <c r="F63" s="16" t="inlineStr">
        <is>
          <t>Nhóm Bảo Ngọc</t>
        </is>
      </c>
      <c r="G63" s="16" t="inlineStr">
        <is>
          <t>TikTok</t>
        </is>
      </c>
      <c r="H63" s="16" t="inlineStr">
        <is>
          <t>Short Video (&lt;60s)</t>
        </is>
      </c>
      <c r="I63" s="16" t="inlineStr">
        <is>
          <t>Kinh tế - Thị trường</t>
        </is>
      </c>
      <c r="J63" s="16" t="inlineStr">
        <is>
          <t>Toàn trình (70%)</t>
        </is>
      </c>
      <c r="K63" s="17" t="n">
        <v>429907</v>
      </c>
      <c r="L63" s="17" t="n">
        <v>36456</v>
      </c>
      <c r="M63" s="18">
        <f>L63/K63</f>
        <v/>
      </c>
      <c r="N63" s="17" t="n">
        <v>50</v>
      </c>
      <c r="O63" s="18" t="n">
        <v>0.6123</v>
      </c>
      <c r="P63" s="17" t="n">
        <v>1500000</v>
      </c>
      <c r="Q63" s="17" t="n">
        <v>4400000</v>
      </c>
      <c r="R63" s="17">
        <f>Q63-P63</f>
        <v/>
      </c>
      <c r="S63" s="18">
        <f>(Q63-P63)/P63</f>
        <v/>
      </c>
      <c r="T63" s="14">
        <f>IF(AND(K63&gt;=50000, S63&gt;=0.35), "Vượt KPI", IF(AND(K63&gt;=20000, S63&gt;=0), "Đạt KPI", "Chưa đạt KPI"))</f>
        <v/>
      </c>
    </row>
    <row r="64">
      <c r="A64" s="10" t="inlineStr">
        <is>
          <t>SP-0061</t>
        </is>
      </c>
      <c r="B64" s="11" t="n">
        <v>46133</v>
      </c>
      <c r="C64" s="10" t="inlineStr">
        <is>
          <t>Tháng 04/2026</t>
        </is>
      </c>
      <c r="D64" s="10" t="inlineStr">
        <is>
          <t>Quý 2</t>
        </is>
      </c>
      <c r="E64" s="5" t="inlineStr">
        <is>
          <t>Ban Kinh tế - Tài chính</t>
        </is>
      </c>
      <c r="F64" s="5" t="inlineStr">
        <is>
          <t>Nhóm Minh Tuấn</t>
        </is>
      </c>
      <c r="G64" s="5" t="inlineStr">
        <is>
          <t>TikTok</t>
        </is>
      </c>
      <c r="H64" s="5" t="inlineStr">
        <is>
          <t>Short Video (&lt;60s)</t>
        </is>
      </c>
      <c r="I64" s="5" t="inlineStr">
        <is>
          <t>Tài chính Cá nhân &amp; Đầu tư</t>
        </is>
      </c>
      <c r="J64" s="5" t="inlineStr">
        <is>
          <t>Cơ bản (15%)</t>
        </is>
      </c>
      <c r="K64" s="12" t="n">
        <v>522313</v>
      </c>
      <c r="L64" s="12" t="n">
        <v>31025</v>
      </c>
      <c r="M64" s="13">
        <f>L64/K64</f>
        <v/>
      </c>
      <c r="N64" s="12" t="n">
        <v>75</v>
      </c>
      <c r="O64" s="13" t="n">
        <v>0.3242</v>
      </c>
      <c r="P64" s="12" t="n">
        <v>800000</v>
      </c>
      <c r="Q64" s="12" t="n">
        <v>3850000</v>
      </c>
      <c r="R64" s="12">
        <f>Q64-P64</f>
        <v/>
      </c>
      <c r="S64" s="13">
        <f>(Q64-P64)/P64</f>
        <v/>
      </c>
      <c r="T64" s="10">
        <f>IF(AND(K64&gt;=50000, S64&gt;=0.35), "Vượt KPI", IF(AND(K64&gt;=20000, S64&gt;=0), "Đạt KPI", "Chưa đạt KPI"))</f>
        <v/>
      </c>
    </row>
    <row r="65">
      <c r="A65" s="14" t="inlineStr">
        <is>
          <t>SP-0062</t>
        </is>
      </c>
      <c r="B65" s="15" t="n">
        <v>46085</v>
      </c>
      <c r="C65" s="14" t="inlineStr">
        <is>
          <t>Tháng 03/2026</t>
        </is>
      </c>
      <c r="D65" s="14" t="inlineStr">
        <is>
          <t>Quý 1</t>
        </is>
      </c>
      <c r="E65" s="16" t="inlineStr">
        <is>
          <t>Ban Thời sự - Chính trị</t>
        </is>
      </c>
      <c r="F65" s="16" t="inlineStr">
        <is>
          <t>Nhóm Việt Anh</t>
        </is>
      </c>
      <c r="G65" s="16" t="inlineStr">
        <is>
          <t>YouTube</t>
        </is>
      </c>
      <c r="H65" s="16" t="inlineStr">
        <is>
          <t>YouTube Long-form (10-25p)</t>
        </is>
      </c>
      <c r="I65" s="16" t="inlineStr">
        <is>
          <t>Đời sống - Xã hội</t>
        </is>
      </c>
      <c r="J65" s="16" t="inlineStr">
        <is>
          <t>Thủ công (0%)</t>
        </is>
      </c>
      <c r="K65" s="17" t="n">
        <v>1520164</v>
      </c>
      <c r="L65" s="17" t="n">
        <v>86497</v>
      </c>
      <c r="M65" s="18">
        <f>L65/K65</f>
        <v/>
      </c>
      <c r="N65" s="17" t="n">
        <v>94</v>
      </c>
      <c r="O65" s="18" t="n">
        <v>0.3023</v>
      </c>
      <c r="P65" s="17" t="n">
        <v>12300000</v>
      </c>
      <c r="Q65" s="17" t="n">
        <v>40000000</v>
      </c>
      <c r="R65" s="17">
        <f>Q65-P65</f>
        <v/>
      </c>
      <c r="S65" s="18">
        <f>(Q65-P65)/P65</f>
        <v/>
      </c>
      <c r="T65" s="14">
        <f>IF(AND(K65&gt;=50000, S65&gt;=0.35), "Vượt KPI", IF(AND(K65&gt;=20000, S65&gt;=0), "Đạt KPI", "Chưa đạt KPI"))</f>
        <v/>
      </c>
    </row>
    <row r="66">
      <c r="A66" s="10" t="inlineStr">
        <is>
          <t>SP-0063</t>
        </is>
      </c>
      <c r="B66" s="11" t="n">
        <v>46117</v>
      </c>
      <c r="C66" s="10" t="inlineStr">
        <is>
          <t>Tháng 04/2026</t>
        </is>
      </c>
      <c r="D66" s="10" t="inlineStr">
        <is>
          <t>Quý 2</t>
        </is>
      </c>
      <c r="E66" s="5" t="inlineStr">
        <is>
          <t>Ban Phóng sự - Điều tra</t>
        </is>
      </c>
      <c r="F66" s="5" t="inlineStr">
        <is>
          <t>Nhóm Hải Đăng</t>
        </is>
      </c>
      <c r="G66" s="5" t="inlineStr">
        <is>
          <t>Báo Điện tử (Web)</t>
        </is>
      </c>
      <c r="H66" s="5" t="inlineStr">
        <is>
          <t>Infographic / Mega Story</t>
        </is>
      </c>
      <c r="I66" s="5" t="inlineStr">
        <is>
          <t>Chính sách &amp; Pháp luật</t>
        </is>
      </c>
      <c r="J66" s="5" t="inlineStr">
        <is>
          <t>Toàn trình (70%)</t>
        </is>
      </c>
      <c r="K66" s="12" t="n">
        <v>73352</v>
      </c>
      <c r="L66" s="12" t="n">
        <v>3352</v>
      </c>
      <c r="M66" s="13">
        <f>L66/K66</f>
        <v/>
      </c>
      <c r="N66" s="12" t="n">
        <v>271</v>
      </c>
      <c r="O66" s="13" t="n">
        <v>0.7373</v>
      </c>
      <c r="P66" s="12" t="n">
        <v>4250000</v>
      </c>
      <c r="Q66" s="12" t="n">
        <v>8350000</v>
      </c>
      <c r="R66" s="12">
        <f>Q66-P66</f>
        <v/>
      </c>
      <c r="S66" s="13">
        <f>(Q66-P66)/P66</f>
        <v/>
      </c>
      <c r="T66" s="10">
        <f>IF(AND(K66&gt;=50000, S66&gt;=0.35), "Vượt KPI", IF(AND(K66&gt;=20000, S66&gt;=0), "Đạt KPI", "Chưa đạt KPI"))</f>
        <v/>
      </c>
    </row>
    <row r="67">
      <c r="A67" s="14" t="inlineStr">
        <is>
          <t>SP-0064</t>
        </is>
      </c>
      <c r="B67" s="15" t="n">
        <v>46183</v>
      </c>
      <c r="C67" s="14" t="inlineStr">
        <is>
          <t>Tháng 06/2026</t>
        </is>
      </c>
      <c r="D67" s="14" t="inlineStr">
        <is>
          <t>Quý 2</t>
        </is>
      </c>
      <c r="E67" s="16" t="inlineStr">
        <is>
          <t>Ban Kinh tế - Tài chính</t>
        </is>
      </c>
      <c r="F67" s="16" t="inlineStr">
        <is>
          <t>Nhóm Lan Hương</t>
        </is>
      </c>
      <c r="G67" s="16" t="inlineStr">
        <is>
          <t>Báo Điện tử (Web)</t>
        </is>
      </c>
      <c r="H67" s="16" t="inlineStr">
        <is>
          <t>Infographic / Mega Story</t>
        </is>
      </c>
      <c r="I67" s="16" t="inlineStr">
        <is>
          <t>Tài chính Cá nhân &amp; Đầu tư</t>
        </is>
      </c>
      <c r="J67" s="16" t="inlineStr">
        <is>
          <t>Hỗ trợ sâu (40%)</t>
        </is>
      </c>
      <c r="K67" s="17" t="n">
        <v>104357</v>
      </c>
      <c r="L67" s="17" t="n">
        <v>3579</v>
      </c>
      <c r="M67" s="18">
        <f>L67/K67</f>
        <v/>
      </c>
      <c r="N67" s="17" t="n">
        <v>221</v>
      </c>
      <c r="O67" s="18" t="n">
        <v>0.3588</v>
      </c>
      <c r="P67" s="17" t="n">
        <v>1700000</v>
      </c>
      <c r="Q67" s="17" t="n">
        <v>6100000</v>
      </c>
      <c r="R67" s="17">
        <f>Q67-P67</f>
        <v/>
      </c>
      <c r="S67" s="18">
        <f>(Q67-P67)/P67</f>
        <v/>
      </c>
      <c r="T67" s="14">
        <f>IF(AND(K67&gt;=50000, S67&gt;=0.35), "Vượt KPI", IF(AND(K67&gt;=20000, S67&gt;=0), "Đạt KPI", "Chưa đạt KPI"))</f>
        <v/>
      </c>
    </row>
    <row r="68">
      <c r="A68" s="10" t="inlineStr">
        <is>
          <t>SP-0065</t>
        </is>
      </c>
      <c r="B68" s="11" t="n">
        <v>46155</v>
      </c>
      <c r="C68" s="10" t="inlineStr">
        <is>
          <t>Tháng 05/2026</t>
        </is>
      </c>
      <c r="D68" s="10" t="inlineStr">
        <is>
          <t>Quý 2</t>
        </is>
      </c>
      <c r="E68" s="5" t="inlineStr">
        <is>
          <t>Ban Thời sự - Chính trị</t>
        </is>
      </c>
      <c r="F68" s="5" t="inlineStr">
        <is>
          <t>Nhóm Việt Anh</t>
        </is>
      </c>
      <c r="G68" s="5" t="inlineStr">
        <is>
          <t>Báo Điện tử (Web)</t>
        </is>
      </c>
      <c r="H68" s="5" t="inlineStr">
        <is>
          <t>Longform / E-magazine</t>
        </is>
      </c>
      <c r="I68" s="5" t="inlineStr">
        <is>
          <t>Giáo dục &amp; Tuyển sinh</t>
        </is>
      </c>
      <c r="J68" s="5" t="inlineStr">
        <is>
          <t>Toàn trình (70%)</t>
        </is>
      </c>
      <c r="K68" s="12" t="n">
        <v>146593</v>
      </c>
      <c r="L68" s="12" t="n">
        <v>9660</v>
      </c>
      <c r="M68" s="13">
        <f>L68/K68</f>
        <v/>
      </c>
      <c r="N68" s="12" t="n">
        <v>229</v>
      </c>
      <c r="O68" s="13" t="n">
        <v>0.5352</v>
      </c>
      <c r="P68" s="12" t="n">
        <v>3000000</v>
      </c>
      <c r="Q68" s="12" t="n">
        <v>5100000</v>
      </c>
      <c r="R68" s="12">
        <f>Q68-P68</f>
        <v/>
      </c>
      <c r="S68" s="13">
        <f>(Q68-P68)/P68</f>
        <v/>
      </c>
      <c r="T68" s="10">
        <f>IF(AND(K68&gt;=50000, S68&gt;=0.35), "Vượt KPI", IF(AND(K68&gt;=20000, S68&gt;=0), "Đạt KPI", "Chưa đạt KPI"))</f>
        <v/>
      </c>
    </row>
    <row r="69">
      <c r="A69" s="14" t="inlineStr">
        <is>
          <t>SP-0066</t>
        </is>
      </c>
      <c r="B69" s="15" t="n">
        <v>46196</v>
      </c>
      <c r="C69" s="14" t="inlineStr">
        <is>
          <t>Tháng 06/2026</t>
        </is>
      </c>
      <c r="D69" s="14" t="inlineStr">
        <is>
          <t>Quý 2</t>
        </is>
      </c>
      <c r="E69" s="16" t="inlineStr">
        <is>
          <t>Ban Kinh tế - Tài chính</t>
        </is>
      </c>
      <c r="F69" s="16" t="inlineStr">
        <is>
          <t>Nhóm Lan Hương</t>
        </is>
      </c>
      <c r="G69" s="16" t="inlineStr">
        <is>
          <t>Facebook Page</t>
        </is>
      </c>
      <c r="H69" s="16" t="inlineStr">
        <is>
          <t>Video Bản tin (3-5p)</t>
        </is>
      </c>
      <c r="I69" s="16" t="inlineStr">
        <is>
          <t>Kinh tế - Thị trường</t>
        </is>
      </c>
      <c r="J69" s="16" t="inlineStr">
        <is>
          <t>Toàn trình (70%)</t>
        </is>
      </c>
      <c r="K69" s="17" t="n">
        <v>172372</v>
      </c>
      <c r="L69" s="17" t="n">
        <v>13048</v>
      </c>
      <c r="M69" s="18">
        <f>L69/K69</f>
        <v/>
      </c>
      <c r="N69" s="17" t="n">
        <v>161</v>
      </c>
      <c r="O69" s="18" t="n">
        <v>0.4929</v>
      </c>
      <c r="P69" s="17" t="n">
        <v>2700000</v>
      </c>
      <c r="Q69" s="17" t="n">
        <v>8850000</v>
      </c>
      <c r="R69" s="17">
        <f>Q69-P69</f>
        <v/>
      </c>
      <c r="S69" s="18">
        <f>(Q69-P69)/P69</f>
        <v/>
      </c>
      <c r="T69" s="14">
        <f>IF(AND(K69&gt;=50000, S69&gt;=0.35), "Vượt KPI", IF(AND(K69&gt;=20000, S69&gt;=0), "Đạt KPI", "Chưa đạt KPI"))</f>
        <v/>
      </c>
    </row>
    <row r="70">
      <c r="A70" s="10" t="inlineStr">
        <is>
          <t>SP-0067</t>
        </is>
      </c>
      <c r="B70" s="11" t="n">
        <v>46194</v>
      </c>
      <c r="C70" s="10" t="inlineStr">
        <is>
          <t>Tháng 06/2026</t>
        </is>
      </c>
      <c r="D70" s="10" t="inlineStr">
        <is>
          <t>Quý 2</t>
        </is>
      </c>
      <c r="E70" s="5" t="inlineStr">
        <is>
          <t>Ban Phóng sự - Điều tra</t>
        </is>
      </c>
      <c r="F70" s="5" t="inlineStr">
        <is>
          <t>Nhóm Hải Đăng</t>
        </is>
      </c>
      <c r="G70" s="5" t="inlineStr">
        <is>
          <t>TikTok</t>
        </is>
      </c>
      <c r="H70" s="5" t="inlineStr">
        <is>
          <t>TikTok Reel (1-3p)</t>
        </is>
      </c>
      <c r="I70" s="5" t="inlineStr">
        <is>
          <t>Chính sách &amp; Pháp luật</t>
        </is>
      </c>
      <c r="J70" s="5" t="inlineStr">
        <is>
          <t>Toàn trình (70%)</t>
        </is>
      </c>
      <c r="K70" s="12" t="n">
        <v>576120</v>
      </c>
      <c r="L70" s="12" t="n">
        <v>39637</v>
      </c>
      <c r="M70" s="13">
        <f>L70/K70</f>
        <v/>
      </c>
      <c r="N70" s="12" t="n">
        <v>49</v>
      </c>
      <c r="O70" s="13" t="n">
        <v>0.7992</v>
      </c>
      <c r="P70" s="12" t="n">
        <v>1700000</v>
      </c>
      <c r="Q70" s="12" t="n">
        <v>4150000</v>
      </c>
      <c r="R70" s="12">
        <f>Q70-P70</f>
        <v/>
      </c>
      <c r="S70" s="13">
        <f>(Q70-P70)/P70</f>
        <v/>
      </c>
      <c r="T70" s="10">
        <f>IF(AND(K70&gt;=50000, S70&gt;=0.35), "Vượt KPI", IF(AND(K70&gt;=20000, S70&gt;=0), "Đạt KPI", "Chưa đạt KPI"))</f>
        <v/>
      </c>
    </row>
    <row r="71">
      <c r="A71" s="14" t="inlineStr">
        <is>
          <t>SP-0068</t>
        </is>
      </c>
      <c r="B71" s="15" t="n">
        <v>46183</v>
      </c>
      <c r="C71" s="14" t="inlineStr">
        <is>
          <t>Tháng 06/2026</t>
        </is>
      </c>
      <c r="D71" s="14" t="inlineStr">
        <is>
          <t>Quý 2</t>
        </is>
      </c>
      <c r="E71" s="16" t="inlineStr">
        <is>
          <t>Ban Đời sống - Giới trẻ</t>
        </is>
      </c>
      <c r="F71" s="16" t="inlineStr">
        <is>
          <t>Nhóm Duy Khánh</t>
        </is>
      </c>
      <c r="G71" s="16" t="inlineStr">
        <is>
          <t>YouTube</t>
        </is>
      </c>
      <c r="H71" s="16" t="inlineStr">
        <is>
          <t>YouTube Documentary (&gt;25p)</t>
        </is>
      </c>
      <c r="I71" s="16" t="inlineStr">
        <is>
          <t>Giáo dục &amp; Tuyển sinh</t>
        </is>
      </c>
      <c r="J71" s="16" t="inlineStr">
        <is>
          <t>Hỗ trợ sâu (40%)</t>
        </is>
      </c>
      <c r="K71" s="17" t="n">
        <v>163627</v>
      </c>
      <c r="L71" s="17" t="n">
        <v>8639</v>
      </c>
      <c r="M71" s="18">
        <f>L71/K71</f>
        <v/>
      </c>
      <c r="N71" s="17" t="n">
        <v>360</v>
      </c>
      <c r="O71" s="18" t="n">
        <v>0.6147</v>
      </c>
      <c r="P71" s="17" t="n">
        <v>18150000</v>
      </c>
      <c r="Q71" s="17" t="n">
        <v>80500000</v>
      </c>
      <c r="R71" s="17">
        <f>Q71-P71</f>
        <v/>
      </c>
      <c r="S71" s="18">
        <f>(Q71-P71)/P71</f>
        <v/>
      </c>
      <c r="T71" s="14">
        <f>IF(AND(K71&gt;=50000, S71&gt;=0.35), "Vượt KPI", IF(AND(K71&gt;=20000, S71&gt;=0), "Đạt KPI", "Chưa đạt KPI"))</f>
        <v/>
      </c>
    </row>
    <row r="72">
      <c r="A72" s="10" t="inlineStr">
        <is>
          <t>SP-0069</t>
        </is>
      </c>
      <c r="B72" s="11" t="n">
        <v>46125</v>
      </c>
      <c r="C72" s="10" t="inlineStr">
        <is>
          <t>Tháng 04/2026</t>
        </is>
      </c>
      <c r="D72" s="10" t="inlineStr">
        <is>
          <t>Quý 2</t>
        </is>
      </c>
      <c r="E72" s="5" t="inlineStr">
        <is>
          <t>Ban Kinh tế - Tài chính</t>
        </is>
      </c>
      <c r="F72" s="5" t="inlineStr">
        <is>
          <t>Nhóm Đức Thịnh</t>
        </is>
      </c>
      <c r="G72" s="5" t="inlineStr">
        <is>
          <t>Facebook Page</t>
        </is>
      </c>
      <c r="H72" s="5" t="inlineStr">
        <is>
          <t>Facebook Reels</t>
        </is>
      </c>
      <c r="I72" s="5" t="inlineStr">
        <is>
          <t>Kinh tế - Thị trường</t>
        </is>
      </c>
      <c r="J72" s="5" t="inlineStr">
        <is>
          <t>Hỗ trợ sâu (40%)</t>
        </is>
      </c>
      <c r="K72" s="12" t="n">
        <v>44380</v>
      </c>
      <c r="L72" s="12" t="n">
        <v>2977</v>
      </c>
      <c r="M72" s="13">
        <f>L72/K72</f>
        <v/>
      </c>
      <c r="N72" s="12" t="n">
        <v>103</v>
      </c>
      <c r="O72" s="13" t="n">
        <v>0.6973</v>
      </c>
      <c r="P72" s="12" t="n">
        <v>1900000</v>
      </c>
      <c r="Q72" s="12" t="n">
        <v>950000</v>
      </c>
      <c r="R72" s="12">
        <f>Q72-P72</f>
        <v/>
      </c>
      <c r="S72" s="13">
        <f>(Q72-P72)/P72</f>
        <v/>
      </c>
      <c r="T72" s="10">
        <f>IF(AND(K72&gt;=50000, S72&gt;=0.35), "Vượt KPI", IF(AND(K72&gt;=20000, S72&gt;=0), "Đạt KPI", "Chưa đạt KPI"))</f>
        <v/>
      </c>
    </row>
    <row r="73">
      <c r="A73" s="14" t="inlineStr">
        <is>
          <t>SP-0070</t>
        </is>
      </c>
      <c r="B73" s="15" t="n">
        <v>46029</v>
      </c>
      <c r="C73" s="14" t="inlineStr">
        <is>
          <t>Tháng 01/2026</t>
        </is>
      </c>
      <c r="D73" s="14" t="inlineStr">
        <is>
          <t>Quý 1</t>
        </is>
      </c>
      <c r="E73" s="16" t="inlineStr">
        <is>
          <t>Ban Phóng sự - Điều tra</t>
        </is>
      </c>
      <c r="F73" s="16" t="inlineStr">
        <is>
          <t>Nhóm Trọng Nghĩa</t>
        </is>
      </c>
      <c r="G73" s="16" t="inlineStr">
        <is>
          <t>YouTube</t>
        </is>
      </c>
      <c r="H73" s="16" t="inlineStr">
        <is>
          <t>YouTube Documentary (&gt;25p)</t>
        </is>
      </c>
      <c r="I73" s="16" t="inlineStr">
        <is>
          <t>Chính sách &amp; Pháp luật</t>
        </is>
      </c>
      <c r="J73" s="16" t="inlineStr">
        <is>
          <t>Hỗ trợ sâu (40%)</t>
        </is>
      </c>
      <c r="K73" s="17" t="n">
        <v>520540</v>
      </c>
      <c r="L73" s="17" t="n">
        <v>15199</v>
      </c>
      <c r="M73" s="18">
        <f>L73/K73</f>
        <v/>
      </c>
      <c r="N73" s="17" t="n">
        <v>217</v>
      </c>
      <c r="O73" s="18" t="n">
        <v>0.4798</v>
      </c>
      <c r="P73" s="17" t="n">
        <v>2800000</v>
      </c>
      <c r="Q73" s="17" t="n">
        <v>12800000</v>
      </c>
      <c r="R73" s="17">
        <f>Q73-P73</f>
        <v/>
      </c>
      <c r="S73" s="18">
        <f>(Q73-P73)/P73</f>
        <v/>
      </c>
      <c r="T73" s="14">
        <f>IF(AND(K73&gt;=50000, S73&gt;=0.35), "Vượt KPI", IF(AND(K73&gt;=20000, S73&gt;=0), "Đạt KPI", "Chưa đạt KPI"))</f>
        <v/>
      </c>
    </row>
    <row r="74">
      <c r="A74" s="10" t="inlineStr">
        <is>
          <t>SP-0071</t>
        </is>
      </c>
      <c r="B74" s="11" t="n">
        <v>46157</v>
      </c>
      <c r="C74" s="10" t="inlineStr">
        <is>
          <t>Tháng 05/2026</t>
        </is>
      </c>
      <c r="D74" s="10" t="inlineStr">
        <is>
          <t>Quý 2</t>
        </is>
      </c>
      <c r="E74" s="5" t="inlineStr">
        <is>
          <t>Ban Đời sống - Giới trẻ</t>
        </is>
      </c>
      <c r="F74" s="5" t="inlineStr">
        <is>
          <t>Nhóm Bảo Ngọc</t>
        </is>
      </c>
      <c r="G74" s="5" t="inlineStr">
        <is>
          <t>TikTok</t>
        </is>
      </c>
      <c r="H74" s="5" t="inlineStr">
        <is>
          <t>Short Video (&lt;60s)</t>
        </is>
      </c>
      <c r="I74" s="5" t="inlineStr">
        <is>
          <t>Giáo dục &amp; Tuyển sinh</t>
        </is>
      </c>
      <c r="J74" s="5" t="inlineStr">
        <is>
          <t>Cơ bản (15%)</t>
        </is>
      </c>
      <c r="K74" s="12" t="n">
        <v>968911</v>
      </c>
      <c r="L74" s="12" t="n">
        <v>81291</v>
      </c>
      <c r="M74" s="13">
        <f>L74/K74</f>
        <v/>
      </c>
      <c r="N74" s="12" t="n">
        <v>63</v>
      </c>
      <c r="O74" s="13" t="n">
        <v>0.3698</v>
      </c>
      <c r="P74" s="12" t="n">
        <v>1600000</v>
      </c>
      <c r="Q74" s="12" t="n">
        <v>2500000</v>
      </c>
      <c r="R74" s="12">
        <f>Q74-P74</f>
        <v/>
      </c>
      <c r="S74" s="13">
        <f>(Q74-P74)/P74</f>
        <v/>
      </c>
      <c r="T74" s="10">
        <f>IF(AND(K74&gt;=50000, S74&gt;=0.35), "Vượt KPI", IF(AND(K74&gt;=20000, S74&gt;=0), "Đạt KPI", "Chưa đạt KPI"))</f>
        <v/>
      </c>
    </row>
    <row r="75">
      <c r="A75" s="14" t="inlineStr">
        <is>
          <t>SP-0072</t>
        </is>
      </c>
      <c r="B75" s="15" t="n">
        <v>46177</v>
      </c>
      <c r="C75" s="14" t="inlineStr">
        <is>
          <t>Tháng 06/2026</t>
        </is>
      </c>
      <c r="D75" s="14" t="inlineStr">
        <is>
          <t>Quý 2</t>
        </is>
      </c>
      <c r="E75" s="16" t="inlineStr">
        <is>
          <t>Ban Công nghệ &amp; AI</t>
        </is>
      </c>
      <c r="F75" s="16" t="inlineStr">
        <is>
          <t>Nhóm Ngọc Ánh</t>
        </is>
      </c>
      <c r="G75" s="16" t="inlineStr">
        <is>
          <t>Báo Điện tử (Web)</t>
        </is>
      </c>
      <c r="H75" s="16" t="inlineStr">
        <is>
          <t>Longform / E-magazine</t>
        </is>
      </c>
      <c r="I75" s="16" t="inlineStr">
        <is>
          <t>Công nghệ &amp; AI</t>
        </is>
      </c>
      <c r="J75" s="16" t="inlineStr">
        <is>
          <t>Toàn trình (70%)</t>
        </is>
      </c>
      <c r="K75" s="17" t="n">
        <v>67609</v>
      </c>
      <c r="L75" s="17" t="n">
        <v>5814</v>
      </c>
      <c r="M75" s="18">
        <f>L75/K75</f>
        <v/>
      </c>
      <c r="N75" s="17" t="n">
        <v>80</v>
      </c>
      <c r="O75" s="18" t="n">
        <v>0.5814</v>
      </c>
      <c r="P75" s="17" t="n">
        <v>2350000</v>
      </c>
      <c r="Q75" s="17" t="n">
        <v>1100000</v>
      </c>
      <c r="R75" s="17">
        <f>Q75-P75</f>
        <v/>
      </c>
      <c r="S75" s="18">
        <f>(Q75-P75)/P75</f>
        <v/>
      </c>
      <c r="T75" s="14">
        <f>IF(AND(K75&gt;=50000, S75&gt;=0.35), "Vượt KPI", IF(AND(K75&gt;=20000, S75&gt;=0), "Đạt KPI", "Chưa đạt KPI"))</f>
        <v/>
      </c>
    </row>
    <row r="76">
      <c r="A76" s="10" t="inlineStr">
        <is>
          <t>SP-0073</t>
        </is>
      </c>
      <c r="B76" s="11" t="n">
        <v>46074</v>
      </c>
      <c r="C76" s="10" t="inlineStr">
        <is>
          <t>Tháng 02/2026</t>
        </is>
      </c>
      <c r="D76" s="10" t="inlineStr">
        <is>
          <t>Quý 1</t>
        </is>
      </c>
      <c r="E76" s="5" t="inlineStr">
        <is>
          <t>Ban Video &amp; Truyền hình số</t>
        </is>
      </c>
      <c r="F76" s="5" t="inlineStr">
        <is>
          <t>Nhóm Thu Trang</t>
        </is>
      </c>
      <c r="G76" s="5" t="inlineStr">
        <is>
          <t>Báo Điện tử (Web)</t>
        </is>
      </c>
      <c r="H76" s="5" t="inlineStr">
        <is>
          <t>Tin bài Đa phương tiện</t>
        </is>
      </c>
      <c r="I76" s="5" t="inlineStr">
        <is>
          <t>Kinh tế - Thị trường</t>
        </is>
      </c>
      <c r="J76" s="5" t="inlineStr">
        <is>
          <t>Hỗ trợ sâu (40%)</t>
        </is>
      </c>
      <c r="K76" s="12" t="n">
        <v>104459</v>
      </c>
      <c r="L76" s="12" t="n">
        <v>3582</v>
      </c>
      <c r="M76" s="13">
        <f>L76/K76</f>
        <v/>
      </c>
      <c r="N76" s="12" t="n">
        <v>283</v>
      </c>
      <c r="O76" s="13" t="n">
        <v>0.6059</v>
      </c>
      <c r="P76" s="12" t="n">
        <v>4150000</v>
      </c>
      <c r="Q76" s="12" t="n">
        <v>9700000</v>
      </c>
      <c r="R76" s="12">
        <f>Q76-P76</f>
        <v/>
      </c>
      <c r="S76" s="13">
        <f>(Q76-P76)/P76</f>
        <v/>
      </c>
      <c r="T76" s="10">
        <f>IF(AND(K76&gt;=50000, S76&gt;=0.35), "Vượt KPI", IF(AND(K76&gt;=20000, S76&gt;=0), "Đạt KPI", "Chưa đạt KPI"))</f>
        <v/>
      </c>
    </row>
    <row r="77">
      <c r="A77" s="14" t="inlineStr">
        <is>
          <t>SP-0074</t>
        </is>
      </c>
      <c r="B77" s="15" t="n">
        <v>46165</v>
      </c>
      <c r="C77" s="14" t="inlineStr">
        <is>
          <t>Tháng 05/2026</t>
        </is>
      </c>
      <c r="D77" s="14" t="inlineStr">
        <is>
          <t>Quý 2</t>
        </is>
      </c>
      <c r="E77" s="16" t="inlineStr">
        <is>
          <t>Ban Thời sự - Chính trị</t>
        </is>
      </c>
      <c r="F77" s="16" t="inlineStr">
        <is>
          <t>Nhóm Thanh Tâm</t>
        </is>
      </c>
      <c r="G77" s="16" t="inlineStr">
        <is>
          <t>Podcast / Audio</t>
        </is>
      </c>
      <c r="H77" s="16" t="inlineStr">
        <is>
          <t>Podcast Chuyên sâu (20p)</t>
        </is>
      </c>
      <c r="I77" s="16" t="inlineStr">
        <is>
          <t>Công nghệ &amp; AI</t>
        </is>
      </c>
      <c r="J77" s="16" t="inlineStr">
        <is>
          <t>Thủ công (0%)</t>
        </is>
      </c>
      <c r="K77" s="17" t="n">
        <v>14395</v>
      </c>
      <c r="L77" s="17" t="n">
        <v>1124</v>
      </c>
      <c r="M77" s="18">
        <f>L77/K77</f>
        <v/>
      </c>
      <c r="N77" s="17" t="n">
        <v>331</v>
      </c>
      <c r="O77" s="18" t="n">
        <v>0.4613</v>
      </c>
      <c r="P77" s="17" t="n">
        <v>2550000</v>
      </c>
      <c r="Q77" s="17" t="n">
        <v>3700000</v>
      </c>
      <c r="R77" s="17">
        <f>Q77-P77</f>
        <v/>
      </c>
      <c r="S77" s="18">
        <f>(Q77-P77)/P77</f>
        <v/>
      </c>
      <c r="T77" s="14">
        <f>IF(AND(K77&gt;=50000, S77&gt;=0.35), "Vượt KPI", IF(AND(K77&gt;=20000, S77&gt;=0), "Đạt KPI", "Chưa đạt KPI"))</f>
        <v/>
      </c>
    </row>
    <row r="78">
      <c r="A78" s="10" t="inlineStr">
        <is>
          <t>SP-0075</t>
        </is>
      </c>
      <c r="B78" s="11" t="n">
        <v>46159</v>
      </c>
      <c r="C78" s="10" t="inlineStr">
        <is>
          <t>Tháng 05/2026</t>
        </is>
      </c>
      <c r="D78" s="10" t="inlineStr">
        <is>
          <t>Quý 2</t>
        </is>
      </c>
      <c r="E78" s="5" t="inlineStr">
        <is>
          <t>Ban Thời sự - Chính trị</t>
        </is>
      </c>
      <c r="F78" s="5" t="inlineStr">
        <is>
          <t>Nhóm Việt Anh</t>
        </is>
      </c>
      <c r="G78" s="5" t="inlineStr">
        <is>
          <t>YouTube</t>
        </is>
      </c>
      <c r="H78" s="5" t="inlineStr">
        <is>
          <t>YouTube Long-form (10-25p)</t>
        </is>
      </c>
      <c r="I78" s="5" t="inlineStr">
        <is>
          <t>Đời sống - Xã hội</t>
        </is>
      </c>
      <c r="J78" s="5" t="inlineStr">
        <is>
          <t>Cơ bản (15%)</t>
        </is>
      </c>
      <c r="K78" s="12" t="n">
        <v>432409</v>
      </c>
      <c r="L78" s="12" t="n">
        <v>18680</v>
      </c>
      <c r="M78" s="13">
        <f>L78/K78</f>
        <v/>
      </c>
      <c r="N78" s="12" t="n">
        <v>587</v>
      </c>
      <c r="O78" s="13" t="n">
        <v>0.6676</v>
      </c>
      <c r="P78" s="12" t="n">
        <v>5250000</v>
      </c>
      <c r="Q78" s="12" t="n">
        <v>24750000</v>
      </c>
      <c r="R78" s="12">
        <f>Q78-P78</f>
        <v/>
      </c>
      <c r="S78" s="13">
        <f>(Q78-P78)/P78</f>
        <v/>
      </c>
      <c r="T78" s="10">
        <f>IF(AND(K78&gt;=50000, S78&gt;=0.35), "Vượt KPI", IF(AND(K78&gt;=20000, S78&gt;=0), "Đạt KPI", "Chưa đạt KPI"))</f>
        <v/>
      </c>
    </row>
    <row r="79">
      <c r="A79" s="14" t="inlineStr">
        <is>
          <t>SP-0076</t>
        </is>
      </c>
      <c r="B79" s="15" t="n">
        <v>46093</v>
      </c>
      <c r="C79" s="14" t="inlineStr">
        <is>
          <t>Tháng 03/2026</t>
        </is>
      </c>
      <c r="D79" s="14" t="inlineStr">
        <is>
          <t>Quý 1</t>
        </is>
      </c>
      <c r="E79" s="16" t="inlineStr">
        <is>
          <t>Ban Công nghệ &amp; AI</t>
        </is>
      </c>
      <c r="F79" s="16" t="inlineStr">
        <is>
          <t>Nhóm Ngọc Ánh</t>
        </is>
      </c>
      <c r="G79" s="16" t="inlineStr">
        <is>
          <t>Podcast / Audio</t>
        </is>
      </c>
      <c r="H79" s="16" t="inlineStr">
        <is>
          <t>Điểm tin Audio AI (5p)</t>
        </is>
      </c>
      <c r="I79" s="16" t="inlineStr">
        <is>
          <t>Công nghệ &amp; AI</t>
        </is>
      </c>
      <c r="J79" s="16" t="inlineStr">
        <is>
          <t>Thủ công (0%)</t>
        </is>
      </c>
      <c r="K79" s="17" t="n">
        <v>32602</v>
      </c>
      <c r="L79" s="17" t="n">
        <v>2901</v>
      </c>
      <c r="M79" s="18">
        <f>L79/K79</f>
        <v/>
      </c>
      <c r="N79" s="17" t="n">
        <v>600</v>
      </c>
      <c r="O79" s="18" t="n">
        <v>0.4278</v>
      </c>
      <c r="P79" s="17" t="n">
        <v>1650000</v>
      </c>
      <c r="Q79" s="17" t="n">
        <v>3050000</v>
      </c>
      <c r="R79" s="17">
        <f>Q79-P79</f>
        <v/>
      </c>
      <c r="S79" s="18">
        <f>(Q79-P79)/P79</f>
        <v/>
      </c>
      <c r="T79" s="14">
        <f>IF(AND(K79&gt;=50000, S79&gt;=0.35), "Vượt KPI", IF(AND(K79&gt;=20000, S79&gt;=0), "Đạt KPI", "Chưa đạt KPI"))</f>
        <v/>
      </c>
    </row>
    <row r="80">
      <c r="A80" s="10" t="inlineStr">
        <is>
          <t>SP-0077</t>
        </is>
      </c>
      <c r="B80" s="11" t="n">
        <v>46155</v>
      </c>
      <c r="C80" s="10" t="inlineStr">
        <is>
          <t>Tháng 05/2026</t>
        </is>
      </c>
      <c r="D80" s="10" t="inlineStr">
        <is>
          <t>Quý 2</t>
        </is>
      </c>
      <c r="E80" s="5" t="inlineStr">
        <is>
          <t>Ban Đời sống - Giới trẻ</t>
        </is>
      </c>
      <c r="F80" s="5" t="inlineStr">
        <is>
          <t>Nhóm Bảo Ngọc</t>
        </is>
      </c>
      <c r="G80" s="5" t="inlineStr">
        <is>
          <t>Báo Điện tử (Web)</t>
        </is>
      </c>
      <c r="H80" s="5" t="inlineStr">
        <is>
          <t>Tin bài Đa phương tiện</t>
        </is>
      </c>
      <c r="I80" s="5" t="inlineStr">
        <is>
          <t>Công nghệ &amp; AI</t>
        </is>
      </c>
      <c r="J80" s="5" t="inlineStr">
        <is>
          <t>Cơ bản (15%)</t>
        </is>
      </c>
      <c r="K80" s="12" t="n">
        <v>355402</v>
      </c>
      <c r="L80" s="12" t="n">
        <v>30386</v>
      </c>
      <c r="M80" s="13">
        <f>L80/K80</f>
        <v/>
      </c>
      <c r="N80" s="12" t="n">
        <v>318</v>
      </c>
      <c r="O80" s="13" t="n">
        <v>0.6223</v>
      </c>
      <c r="P80" s="12" t="n">
        <v>3200000</v>
      </c>
      <c r="Q80" s="12" t="n">
        <v>5600000</v>
      </c>
      <c r="R80" s="12">
        <f>Q80-P80</f>
        <v/>
      </c>
      <c r="S80" s="13">
        <f>(Q80-P80)/P80</f>
        <v/>
      </c>
      <c r="T80" s="10">
        <f>IF(AND(K80&gt;=50000, S80&gt;=0.35), "Vượt KPI", IF(AND(K80&gt;=20000, S80&gt;=0), "Đạt KPI", "Chưa đạt KPI"))</f>
        <v/>
      </c>
    </row>
    <row r="81">
      <c r="A81" s="14" t="inlineStr">
        <is>
          <t>SP-0078</t>
        </is>
      </c>
      <c r="B81" s="15" t="n">
        <v>46034</v>
      </c>
      <c r="C81" s="14" t="inlineStr">
        <is>
          <t>Tháng 01/2026</t>
        </is>
      </c>
      <c r="D81" s="14" t="inlineStr">
        <is>
          <t>Quý 1</t>
        </is>
      </c>
      <c r="E81" s="16" t="inlineStr">
        <is>
          <t>Ban Phóng sự - Điều tra</t>
        </is>
      </c>
      <c r="F81" s="16" t="inlineStr">
        <is>
          <t>Nhóm Hải Đăng</t>
        </is>
      </c>
      <c r="G81" s="16" t="inlineStr">
        <is>
          <t>YouTube</t>
        </is>
      </c>
      <c r="H81" s="16" t="inlineStr">
        <is>
          <t>YouTube Documentary (&gt;25p)</t>
        </is>
      </c>
      <c r="I81" s="16" t="inlineStr">
        <is>
          <t>Đời sống - Xã hội</t>
        </is>
      </c>
      <c r="J81" s="16" t="inlineStr">
        <is>
          <t>Toàn trình (70%)</t>
        </is>
      </c>
      <c r="K81" s="17" t="n">
        <v>112569</v>
      </c>
      <c r="L81" s="17" t="n">
        <v>2836</v>
      </c>
      <c r="M81" s="18">
        <f>L81/K81</f>
        <v/>
      </c>
      <c r="N81" s="17" t="n">
        <v>62</v>
      </c>
      <c r="O81" s="18" t="n">
        <v>0.676</v>
      </c>
      <c r="P81" s="17" t="n">
        <v>10350000</v>
      </c>
      <c r="Q81" s="17" t="n">
        <v>8400000</v>
      </c>
      <c r="R81" s="17">
        <f>Q81-P81</f>
        <v/>
      </c>
      <c r="S81" s="18">
        <f>(Q81-P81)/P81</f>
        <v/>
      </c>
      <c r="T81" s="14">
        <f>IF(AND(K81&gt;=50000, S81&gt;=0.35), "Vượt KPI", IF(AND(K81&gt;=20000, S81&gt;=0), "Đạt KPI", "Chưa đạt KPI"))</f>
        <v/>
      </c>
    </row>
    <row r="82">
      <c r="A82" s="10" t="inlineStr">
        <is>
          <t>SP-0079</t>
        </is>
      </c>
      <c r="B82" s="11" t="n">
        <v>46094</v>
      </c>
      <c r="C82" s="10" t="inlineStr">
        <is>
          <t>Tháng 03/2026</t>
        </is>
      </c>
      <c r="D82" s="10" t="inlineStr">
        <is>
          <t>Quý 1</t>
        </is>
      </c>
      <c r="E82" s="5" t="inlineStr">
        <is>
          <t>Ban Kinh tế - Tài chính</t>
        </is>
      </c>
      <c r="F82" s="5" t="inlineStr">
        <is>
          <t>Nhóm Đức Thịnh</t>
        </is>
      </c>
      <c r="G82" s="5" t="inlineStr">
        <is>
          <t>TikTok</t>
        </is>
      </c>
      <c r="H82" s="5" t="inlineStr">
        <is>
          <t>Short Video (&lt;60s)</t>
        </is>
      </c>
      <c r="I82" s="5" t="inlineStr">
        <is>
          <t>Kinh tế - Thị trường</t>
        </is>
      </c>
      <c r="J82" s="5" t="inlineStr">
        <is>
          <t>Toàn trình (70%)</t>
        </is>
      </c>
      <c r="K82" s="12" t="n">
        <v>299612</v>
      </c>
      <c r="L82" s="12" t="n">
        <v>22291</v>
      </c>
      <c r="M82" s="13">
        <f>L82/K82</f>
        <v/>
      </c>
      <c r="N82" s="12" t="n">
        <v>84</v>
      </c>
      <c r="O82" s="13" t="n">
        <v>0.6356000000000001</v>
      </c>
      <c r="P82" s="12" t="n">
        <v>1400000</v>
      </c>
      <c r="Q82" s="12" t="n">
        <v>5650000</v>
      </c>
      <c r="R82" s="12">
        <f>Q82-P82</f>
        <v/>
      </c>
      <c r="S82" s="13">
        <f>(Q82-P82)/P82</f>
        <v/>
      </c>
      <c r="T82" s="10">
        <f>IF(AND(K82&gt;=50000, S82&gt;=0.35), "Vượt KPI", IF(AND(K82&gt;=20000, S82&gt;=0), "Đạt KPI", "Chưa đạt KPI"))</f>
        <v/>
      </c>
    </row>
    <row r="83">
      <c r="A83" s="14" t="inlineStr">
        <is>
          <t>SP-0080</t>
        </is>
      </c>
      <c r="B83" s="15" t="n">
        <v>46114</v>
      </c>
      <c r="C83" s="14" t="inlineStr">
        <is>
          <t>Tháng 04/2026</t>
        </is>
      </c>
      <c r="D83" s="14" t="inlineStr">
        <is>
          <t>Quý 2</t>
        </is>
      </c>
      <c r="E83" s="16" t="inlineStr">
        <is>
          <t>Ban Kinh tế - Tài chính</t>
        </is>
      </c>
      <c r="F83" s="16" t="inlineStr">
        <is>
          <t>Nhóm Minh Tuấn</t>
        </is>
      </c>
      <c r="G83" s="16" t="inlineStr">
        <is>
          <t>TikTok</t>
        </is>
      </c>
      <c r="H83" s="16" t="inlineStr">
        <is>
          <t>TikTok Reel (1-3p)</t>
        </is>
      </c>
      <c r="I83" s="16" t="inlineStr">
        <is>
          <t>Kinh tế - Thị trường</t>
        </is>
      </c>
      <c r="J83" s="16" t="inlineStr">
        <is>
          <t>Toàn trình (70%)</t>
        </is>
      </c>
      <c r="K83" s="17" t="n">
        <v>1024532</v>
      </c>
      <c r="L83" s="17" t="n">
        <v>111161</v>
      </c>
      <c r="M83" s="18">
        <f>L83/K83</f>
        <v/>
      </c>
      <c r="N83" s="17" t="n">
        <v>23</v>
      </c>
      <c r="O83" s="18" t="n">
        <v>0.6224</v>
      </c>
      <c r="P83" s="17" t="n">
        <v>1900000</v>
      </c>
      <c r="Q83" s="17" t="n">
        <v>5800000</v>
      </c>
      <c r="R83" s="17">
        <f>Q83-P83</f>
        <v/>
      </c>
      <c r="S83" s="18">
        <f>(Q83-P83)/P83</f>
        <v/>
      </c>
      <c r="T83" s="14">
        <f>IF(AND(K83&gt;=50000, S83&gt;=0.35), "Vượt KPI", IF(AND(K83&gt;=20000, S83&gt;=0), "Đạt KPI", "Chưa đạt KPI"))</f>
        <v/>
      </c>
    </row>
    <row r="84">
      <c r="A84" s="10" t="inlineStr">
        <is>
          <t>SP-0081</t>
        </is>
      </c>
      <c r="B84" s="11" t="n">
        <v>46191</v>
      </c>
      <c r="C84" s="10" t="inlineStr">
        <is>
          <t>Tháng 06/2026</t>
        </is>
      </c>
      <c r="D84" s="10" t="inlineStr">
        <is>
          <t>Quý 2</t>
        </is>
      </c>
      <c r="E84" s="5" t="inlineStr">
        <is>
          <t>Ban Đời sống - Giới trẻ</t>
        </is>
      </c>
      <c r="F84" s="5" t="inlineStr">
        <is>
          <t>Nhóm Phương Thảo</t>
        </is>
      </c>
      <c r="G84" s="5" t="inlineStr">
        <is>
          <t>Báo Điện tử (Web)</t>
        </is>
      </c>
      <c r="H84" s="5" t="inlineStr">
        <is>
          <t>Infographic / Mega Story</t>
        </is>
      </c>
      <c r="I84" s="5" t="inlineStr">
        <is>
          <t>Công nghệ &amp; AI</t>
        </is>
      </c>
      <c r="J84" s="5" t="inlineStr">
        <is>
          <t>Thủ công (0%)</t>
        </is>
      </c>
      <c r="K84" s="12" t="n">
        <v>178567</v>
      </c>
      <c r="L84" s="12" t="n">
        <v>14803</v>
      </c>
      <c r="M84" s="13">
        <f>L84/K84</f>
        <v/>
      </c>
      <c r="N84" s="12" t="n">
        <v>177</v>
      </c>
      <c r="O84" s="13" t="n">
        <v>0.6508</v>
      </c>
      <c r="P84" s="12" t="n">
        <v>3750000</v>
      </c>
      <c r="Q84" s="12" t="n">
        <v>4050000</v>
      </c>
      <c r="R84" s="12">
        <f>Q84-P84</f>
        <v/>
      </c>
      <c r="S84" s="13">
        <f>(Q84-P84)/P84</f>
        <v/>
      </c>
      <c r="T84" s="10">
        <f>IF(AND(K84&gt;=50000, S84&gt;=0.35), "Vượt KPI", IF(AND(K84&gt;=20000, S84&gt;=0), "Đạt KPI", "Chưa đạt KPI"))</f>
        <v/>
      </c>
    </row>
    <row r="85">
      <c r="A85" s="14" t="inlineStr">
        <is>
          <t>SP-0082</t>
        </is>
      </c>
      <c r="B85" s="15" t="n">
        <v>46179</v>
      </c>
      <c r="C85" s="14" t="inlineStr">
        <is>
          <t>Tháng 06/2026</t>
        </is>
      </c>
      <c r="D85" s="14" t="inlineStr">
        <is>
          <t>Quý 2</t>
        </is>
      </c>
      <c r="E85" s="16" t="inlineStr">
        <is>
          <t>Ban Công nghệ &amp; AI</t>
        </is>
      </c>
      <c r="F85" s="16" t="inlineStr">
        <is>
          <t>Nhóm Ngọc Ánh</t>
        </is>
      </c>
      <c r="G85" s="16" t="inlineStr">
        <is>
          <t>Báo Điện tử (Web)</t>
        </is>
      </c>
      <c r="H85" s="16" t="inlineStr">
        <is>
          <t>Longform / E-magazine</t>
        </is>
      </c>
      <c r="I85" s="16" t="inlineStr">
        <is>
          <t>Kinh tế - Thị trường</t>
        </is>
      </c>
      <c r="J85" s="16" t="inlineStr">
        <is>
          <t>Thủ công (0%)</t>
        </is>
      </c>
      <c r="K85" s="17" t="n">
        <v>69681</v>
      </c>
      <c r="L85" s="17" t="n">
        <v>3964</v>
      </c>
      <c r="M85" s="18">
        <f>L85/K85</f>
        <v/>
      </c>
      <c r="N85" s="17" t="n">
        <v>227</v>
      </c>
      <c r="O85" s="18" t="n">
        <v>0.356</v>
      </c>
      <c r="P85" s="17" t="n">
        <v>1150000</v>
      </c>
      <c r="Q85" s="17" t="n">
        <v>600000</v>
      </c>
      <c r="R85" s="17">
        <f>Q85-P85</f>
        <v/>
      </c>
      <c r="S85" s="18">
        <f>(Q85-P85)/P85</f>
        <v/>
      </c>
      <c r="T85" s="14">
        <f>IF(AND(K85&gt;=50000, S85&gt;=0.35), "Vượt KPI", IF(AND(K85&gt;=20000, S85&gt;=0), "Đạt KPI", "Chưa đạt KPI"))</f>
        <v/>
      </c>
    </row>
    <row r="86">
      <c r="A86" s="10" t="inlineStr">
        <is>
          <t>SP-0083</t>
        </is>
      </c>
      <c r="B86" s="11" t="n">
        <v>46077</v>
      </c>
      <c r="C86" s="10" t="inlineStr">
        <is>
          <t>Tháng 02/2026</t>
        </is>
      </c>
      <c r="D86" s="10" t="inlineStr">
        <is>
          <t>Quý 1</t>
        </is>
      </c>
      <c r="E86" s="5" t="inlineStr">
        <is>
          <t>Ban Phóng sự - Điều tra</t>
        </is>
      </c>
      <c r="F86" s="5" t="inlineStr">
        <is>
          <t>Nhóm Hải Đăng</t>
        </is>
      </c>
      <c r="G86" s="5" t="inlineStr">
        <is>
          <t>Báo Điện tử (Web)</t>
        </is>
      </c>
      <c r="H86" s="5" t="inlineStr">
        <is>
          <t>Longform / E-magazine</t>
        </is>
      </c>
      <c r="I86" s="5" t="inlineStr">
        <is>
          <t>Đời sống - Xã hội</t>
        </is>
      </c>
      <c r="J86" s="5" t="inlineStr">
        <is>
          <t>Toàn trình (70%)</t>
        </is>
      </c>
      <c r="K86" s="12" t="n">
        <v>417578</v>
      </c>
      <c r="L86" s="12" t="n">
        <v>18164</v>
      </c>
      <c r="M86" s="13">
        <f>L86/K86</f>
        <v/>
      </c>
      <c r="N86" s="12" t="n">
        <v>291</v>
      </c>
      <c r="O86" s="13" t="n">
        <v>0.445</v>
      </c>
      <c r="P86" s="12" t="n">
        <v>2100000</v>
      </c>
      <c r="Q86" s="12" t="n">
        <v>11400000</v>
      </c>
      <c r="R86" s="12">
        <f>Q86-P86</f>
        <v/>
      </c>
      <c r="S86" s="13">
        <f>(Q86-P86)/P86</f>
        <v/>
      </c>
      <c r="T86" s="10">
        <f>IF(AND(K86&gt;=50000, S86&gt;=0.35), "Vượt KPI", IF(AND(K86&gt;=20000, S86&gt;=0), "Đạt KPI", "Chưa đạt KPI"))</f>
        <v/>
      </c>
    </row>
    <row r="87">
      <c r="A87" s="14" t="inlineStr">
        <is>
          <t>SP-0084</t>
        </is>
      </c>
      <c r="B87" s="15" t="n">
        <v>46041</v>
      </c>
      <c r="C87" s="14" t="inlineStr">
        <is>
          <t>Tháng 01/2026</t>
        </is>
      </c>
      <c r="D87" s="14" t="inlineStr">
        <is>
          <t>Quý 1</t>
        </is>
      </c>
      <c r="E87" s="16" t="inlineStr">
        <is>
          <t>Ban Đời sống - Giới trẻ</t>
        </is>
      </c>
      <c r="F87" s="16" t="inlineStr">
        <is>
          <t>Nhóm Phương Thảo</t>
        </is>
      </c>
      <c r="G87" s="16" t="inlineStr">
        <is>
          <t>TikTok</t>
        </is>
      </c>
      <c r="H87" s="16" t="inlineStr">
        <is>
          <t>Short Video (&lt;60s)</t>
        </is>
      </c>
      <c r="I87" s="16" t="inlineStr">
        <is>
          <t>Kinh tế - Thị trường</t>
        </is>
      </c>
      <c r="J87" s="16" t="inlineStr">
        <is>
          <t>Hỗ trợ sâu (40%)</t>
        </is>
      </c>
      <c r="K87" s="17" t="n">
        <v>104046</v>
      </c>
      <c r="L87" s="17" t="n">
        <v>5608</v>
      </c>
      <c r="M87" s="18">
        <f>L87/K87</f>
        <v/>
      </c>
      <c r="N87" s="17" t="n">
        <v>59</v>
      </c>
      <c r="O87" s="18" t="n">
        <v>0.6435999999999999</v>
      </c>
      <c r="P87" s="17" t="n">
        <v>1600000</v>
      </c>
      <c r="Q87" s="17" t="n">
        <v>4650000</v>
      </c>
      <c r="R87" s="17">
        <f>Q87-P87</f>
        <v/>
      </c>
      <c r="S87" s="18">
        <f>(Q87-P87)/P87</f>
        <v/>
      </c>
      <c r="T87" s="14">
        <f>IF(AND(K87&gt;=50000, S87&gt;=0.35), "Vượt KPI", IF(AND(K87&gt;=20000, S87&gt;=0), "Đạt KPI", "Chưa đạt KPI"))</f>
        <v/>
      </c>
    </row>
    <row r="88">
      <c r="A88" s="10" t="inlineStr">
        <is>
          <t>SP-0085</t>
        </is>
      </c>
      <c r="B88" s="11" t="n">
        <v>46027</v>
      </c>
      <c r="C88" s="10" t="inlineStr">
        <is>
          <t>Tháng 01/2026</t>
        </is>
      </c>
      <c r="D88" s="10" t="inlineStr">
        <is>
          <t>Quý 1</t>
        </is>
      </c>
      <c r="E88" s="5" t="inlineStr">
        <is>
          <t>Ban Thời sự - Chính trị</t>
        </is>
      </c>
      <c r="F88" s="5" t="inlineStr">
        <is>
          <t>Nhóm Việt Anh</t>
        </is>
      </c>
      <c r="G88" s="5" t="inlineStr">
        <is>
          <t>TikTok</t>
        </is>
      </c>
      <c r="H88" s="5" t="inlineStr">
        <is>
          <t>Short Video (&lt;60s)</t>
        </is>
      </c>
      <c r="I88" s="5" t="inlineStr">
        <is>
          <t>Công nghệ &amp; AI</t>
        </is>
      </c>
      <c r="J88" s="5" t="inlineStr">
        <is>
          <t>Hỗ trợ sâu (40%)</t>
        </is>
      </c>
      <c r="K88" s="12" t="n">
        <v>528268</v>
      </c>
      <c r="L88" s="12" t="n">
        <v>31696</v>
      </c>
      <c r="M88" s="13">
        <f>L88/K88</f>
        <v/>
      </c>
      <c r="N88" s="12" t="n">
        <v>31</v>
      </c>
      <c r="O88" s="13" t="n">
        <v>0.501</v>
      </c>
      <c r="P88" s="12" t="n">
        <v>750000</v>
      </c>
      <c r="Q88" s="12" t="n">
        <v>2000000</v>
      </c>
      <c r="R88" s="12">
        <f>Q88-P88</f>
        <v/>
      </c>
      <c r="S88" s="13">
        <f>(Q88-P88)/P88</f>
        <v/>
      </c>
      <c r="T88" s="10">
        <f>IF(AND(K88&gt;=50000, S88&gt;=0.35), "Vượt KPI", IF(AND(K88&gt;=20000, S88&gt;=0), "Đạt KPI", "Chưa đạt KPI"))</f>
        <v/>
      </c>
    </row>
    <row r="89">
      <c r="A89" s="14" t="inlineStr">
        <is>
          <t>SP-0086</t>
        </is>
      </c>
      <c r="B89" s="15" t="n">
        <v>46199</v>
      </c>
      <c r="C89" s="14" t="inlineStr">
        <is>
          <t>Tháng 06/2026</t>
        </is>
      </c>
      <c r="D89" s="14" t="inlineStr">
        <is>
          <t>Quý 2</t>
        </is>
      </c>
      <c r="E89" s="16" t="inlineStr">
        <is>
          <t>Ban Công nghệ &amp; AI</t>
        </is>
      </c>
      <c r="F89" s="16" t="inlineStr">
        <is>
          <t>Nhóm Tuấn Kiệt</t>
        </is>
      </c>
      <c r="G89" s="16" t="inlineStr">
        <is>
          <t>Podcast / Audio</t>
        </is>
      </c>
      <c r="H89" s="16" t="inlineStr">
        <is>
          <t>Điểm tin Audio AI (5p)</t>
        </is>
      </c>
      <c r="I89" s="16" t="inlineStr">
        <is>
          <t>Công nghệ &amp; AI</t>
        </is>
      </c>
      <c r="J89" s="16" t="inlineStr">
        <is>
          <t>Cơ bản (15%)</t>
        </is>
      </c>
      <c r="K89" s="17" t="n">
        <v>110184</v>
      </c>
      <c r="L89" s="17" t="n">
        <v>9839</v>
      </c>
      <c r="M89" s="18">
        <f>L89/K89</f>
        <v/>
      </c>
      <c r="N89" s="17" t="n">
        <v>853</v>
      </c>
      <c r="O89" s="18" t="n">
        <v>0.3807</v>
      </c>
      <c r="P89" s="17" t="n">
        <v>1650000</v>
      </c>
      <c r="Q89" s="17" t="n">
        <v>8350000</v>
      </c>
      <c r="R89" s="17">
        <f>Q89-P89</f>
        <v/>
      </c>
      <c r="S89" s="18">
        <f>(Q89-P89)/P89</f>
        <v/>
      </c>
      <c r="T89" s="14">
        <f>IF(AND(K89&gt;=50000, S89&gt;=0.35), "Vượt KPI", IF(AND(K89&gt;=20000, S89&gt;=0), "Đạt KPI", "Chưa đạt KPI"))</f>
        <v/>
      </c>
    </row>
    <row r="90">
      <c r="A90" s="10" t="inlineStr">
        <is>
          <t>SP-0087</t>
        </is>
      </c>
      <c r="B90" s="11" t="n">
        <v>46057</v>
      </c>
      <c r="C90" s="10" t="inlineStr">
        <is>
          <t>Tháng 02/2026</t>
        </is>
      </c>
      <c r="D90" s="10" t="inlineStr">
        <is>
          <t>Quý 1</t>
        </is>
      </c>
      <c r="E90" s="5" t="inlineStr">
        <is>
          <t>Ban Kinh tế - Tài chính</t>
        </is>
      </c>
      <c r="F90" s="5" t="inlineStr">
        <is>
          <t>Nhóm Đức Thịnh</t>
        </is>
      </c>
      <c r="G90" s="5" t="inlineStr">
        <is>
          <t>Facebook Page</t>
        </is>
      </c>
      <c r="H90" s="5" t="inlineStr">
        <is>
          <t>Facebook Reels</t>
        </is>
      </c>
      <c r="I90" s="5" t="inlineStr">
        <is>
          <t>Tài chính Cá nhân &amp; Đầu tư</t>
        </is>
      </c>
      <c r="J90" s="5" t="inlineStr">
        <is>
          <t>Hỗ trợ sâu (40%)</t>
        </is>
      </c>
      <c r="K90" s="12" t="n">
        <v>116549</v>
      </c>
      <c r="L90" s="12" t="n">
        <v>10827</v>
      </c>
      <c r="M90" s="13">
        <f>L90/K90</f>
        <v/>
      </c>
      <c r="N90" s="12" t="n">
        <v>140</v>
      </c>
      <c r="O90" s="13" t="n">
        <v>0.7055</v>
      </c>
      <c r="P90" s="12" t="n">
        <v>3300000</v>
      </c>
      <c r="Q90" s="12" t="n">
        <v>7550000</v>
      </c>
      <c r="R90" s="12">
        <f>Q90-P90</f>
        <v/>
      </c>
      <c r="S90" s="13">
        <f>(Q90-P90)/P90</f>
        <v/>
      </c>
      <c r="T90" s="10">
        <f>IF(AND(K90&gt;=50000, S90&gt;=0.35), "Vượt KPI", IF(AND(K90&gt;=20000, S90&gt;=0), "Đạt KPI", "Chưa đạt KPI"))</f>
        <v/>
      </c>
    </row>
    <row r="91">
      <c r="A91" s="14" t="inlineStr">
        <is>
          <t>SP-0088</t>
        </is>
      </c>
      <c r="B91" s="15" t="n">
        <v>46194</v>
      </c>
      <c r="C91" s="14" t="inlineStr">
        <is>
          <t>Tháng 06/2026</t>
        </is>
      </c>
      <c r="D91" s="14" t="inlineStr">
        <is>
          <t>Quý 2</t>
        </is>
      </c>
      <c r="E91" s="16" t="inlineStr">
        <is>
          <t>Ban Thời sự - Chính trị</t>
        </is>
      </c>
      <c r="F91" s="16" t="inlineStr">
        <is>
          <t>Nhóm Việt Anh</t>
        </is>
      </c>
      <c r="G91" s="16" t="inlineStr">
        <is>
          <t>TikTok</t>
        </is>
      </c>
      <c r="H91" s="16" t="inlineStr">
        <is>
          <t>TikTok Reel (1-3p)</t>
        </is>
      </c>
      <c r="I91" s="16" t="inlineStr">
        <is>
          <t>Kinh tế - Thị trường</t>
        </is>
      </c>
      <c r="J91" s="16" t="inlineStr">
        <is>
          <t>Toàn trình (70%)</t>
        </is>
      </c>
      <c r="K91" s="17" t="n">
        <v>924205</v>
      </c>
      <c r="L91" s="17" t="n">
        <v>78465</v>
      </c>
      <c r="M91" s="18">
        <f>L91/K91</f>
        <v/>
      </c>
      <c r="N91" s="17" t="n">
        <v>58</v>
      </c>
      <c r="O91" s="18" t="n">
        <v>0.5429</v>
      </c>
      <c r="P91" s="17" t="n">
        <v>1150000</v>
      </c>
      <c r="Q91" s="17" t="n">
        <v>4900000</v>
      </c>
      <c r="R91" s="17">
        <f>Q91-P91</f>
        <v/>
      </c>
      <c r="S91" s="18">
        <f>(Q91-P91)/P91</f>
        <v/>
      </c>
      <c r="T91" s="14">
        <f>IF(AND(K91&gt;=50000, S91&gt;=0.35), "Vượt KPI", IF(AND(K91&gt;=20000, S91&gt;=0), "Đạt KPI", "Chưa đạt KPI"))</f>
        <v/>
      </c>
    </row>
    <row r="92">
      <c r="A92" s="10" t="inlineStr">
        <is>
          <t>SP-0089</t>
        </is>
      </c>
      <c r="B92" s="11" t="n">
        <v>46103</v>
      </c>
      <c r="C92" s="10" t="inlineStr">
        <is>
          <t>Tháng 03/2026</t>
        </is>
      </c>
      <c r="D92" s="10" t="inlineStr">
        <is>
          <t>Quý 1</t>
        </is>
      </c>
      <c r="E92" s="5" t="inlineStr">
        <is>
          <t>Ban Công nghệ &amp; AI</t>
        </is>
      </c>
      <c r="F92" s="5" t="inlineStr">
        <is>
          <t>Nhóm Gia Hưng</t>
        </is>
      </c>
      <c r="G92" s="5" t="inlineStr">
        <is>
          <t>YouTube</t>
        </is>
      </c>
      <c r="H92" s="5" t="inlineStr">
        <is>
          <t>YouTube Shorts</t>
        </is>
      </c>
      <c r="I92" s="5" t="inlineStr">
        <is>
          <t>Kinh tế - Thị trường</t>
        </is>
      </c>
      <c r="J92" s="5" t="inlineStr">
        <is>
          <t>Cơ bản (15%)</t>
        </is>
      </c>
      <c r="K92" s="12" t="n">
        <v>71692</v>
      </c>
      <c r="L92" s="12" t="n">
        <v>4982</v>
      </c>
      <c r="M92" s="13">
        <f>L92/K92</f>
        <v/>
      </c>
      <c r="N92" s="12" t="n">
        <v>687</v>
      </c>
      <c r="O92" s="13" t="n">
        <v>0.4007</v>
      </c>
      <c r="P92" s="12" t="n">
        <v>15650000</v>
      </c>
      <c r="Q92" s="12" t="n">
        <v>76750000</v>
      </c>
      <c r="R92" s="12">
        <f>Q92-P92</f>
        <v/>
      </c>
      <c r="S92" s="13">
        <f>(Q92-P92)/P92</f>
        <v/>
      </c>
      <c r="T92" s="10">
        <f>IF(AND(K92&gt;=50000, S92&gt;=0.35), "Vượt KPI", IF(AND(K92&gt;=20000, S92&gt;=0), "Đạt KPI", "Chưa đạt KPI"))</f>
        <v/>
      </c>
    </row>
    <row r="93">
      <c r="A93" s="14" t="inlineStr">
        <is>
          <t>SP-0090</t>
        </is>
      </c>
      <c r="B93" s="15" t="n">
        <v>46160</v>
      </c>
      <c r="C93" s="14" t="inlineStr">
        <is>
          <t>Tháng 05/2026</t>
        </is>
      </c>
      <c r="D93" s="14" t="inlineStr">
        <is>
          <t>Quý 2</t>
        </is>
      </c>
      <c r="E93" s="16" t="inlineStr">
        <is>
          <t>Ban Video &amp; Truyền hình số</t>
        </is>
      </c>
      <c r="F93" s="16" t="inlineStr">
        <is>
          <t>Nhóm Đặng Minh</t>
        </is>
      </c>
      <c r="G93" s="16" t="inlineStr">
        <is>
          <t>YouTube</t>
        </is>
      </c>
      <c r="H93" s="16" t="inlineStr">
        <is>
          <t>YouTube Shorts</t>
        </is>
      </c>
      <c r="I93" s="16" t="inlineStr">
        <is>
          <t>Phóng sự Điều tra</t>
        </is>
      </c>
      <c r="J93" s="16" t="inlineStr">
        <is>
          <t>Cơ bản (15%)</t>
        </is>
      </c>
      <c r="K93" s="17" t="n">
        <v>63225</v>
      </c>
      <c r="L93" s="17" t="n">
        <v>2061</v>
      </c>
      <c r="M93" s="18">
        <f>L93/K93</f>
        <v/>
      </c>
      <c r="N93" s="17" t="n">
        <v>529</v>
      </c>
      <c r="O93" s="18" t="n">
        <v>0.4814</v>
      </c>
      <c r="P93" s="17" t="n">
        <v>17450000</v>
      </c>
      <c r="Q93" s="17" t="n">
        <v>93650000</v>
      </c>
      <c r="R93" s="17">
        <f>Q93-P93</f>
        <v/>
      </c>
      <c r="S93" s="18">
        <f>(Q93-P93)/P93</f>
        <v/>
      </c>
      <c r="T93" s="14">
        <f>IF(AND(K93&gt;=50000, S93&gt;=0.35), "Vượt KPI", IF(AND(K93&gt;=20000, S93&gt;=0), "Đạt KPI", "Chưa đạt KPI"))</f>
        <v/>
      </c>
    </row>
    <row r="94">
      <c r="A94" s="10" t="inlineStr">
        <is>
          <t>SP-0091</t>
        </is>
      </c>
      <c r="B94" s="11" t="n">
        <v>46026</v>
      </c>
      <c r="C94" s="10" t="inlineStr">
        <is>
          <t>Tháng 01/2026</t>
        </is>
      </c>
      <c r="D94" s="10" t="inlineStr">
        <is>
          <t>Quý 1</t>
        </is>
      </c>
      <c r="E94" s="5" t="inlineStr">
        <is>
          <t>Ban Thời sự - Chính trị</t>
        </is>
      </c>
      <c r="F94" s="5" t="inlineStr">
        <is>
          <t>Nhóm Thanh Tâm</t>
        </is>
      </c>
      <c r="G94" s="5" t="inlineStr">
        <is>
          <t>TikTok</t>
        </is>
      </c>
      <c r="H94" s="5" t="inlineStr">
        <is>
          <t>Short Video (&lt;60s)</t>
        </is>
      </c>
      <c r="I94" s="5" t="inlineStr">
        <is>
          <t>Chính sách &amp; Pháp luật</t>
        </is>
      </c>
      <c r="J94" s="5" t="inlineStr">
        <is>
          <t>Thủ công (0%)</t>
        </is>
      </c>
      <c r="K94" s="12" t="n">
        <v>380810</v>
      </c>
      <c r="L94" s="12" t="n">
        <v>20830</v>
      </c>
      <c r="M94" s="13">
        <f>L94/K94</f>
        <v/>
      </c>
      <c r="N94" s="12" t="n">
        <v>74</v>
      </c>
      <c r="O94" s="13" t="n">
        <v>0.4991</v>
      </c>
      <c r="P94" s="12" t="n">
        <v>2000000</v>
      </c>
      <c r="Q94" s="12" t="n">
        <v>3300000</v>
      </c>
      <c r="R94" s="12">
        <f>Q94-P94</f>
        <v/>
      </c>
      <c r="S94" s="13">
        <f>(Q94-P94)/P94</f>
        <v/>
      </c>
      <c r="T94" s="10">
        <f>IF(AND(K94&gt;=50000, S94&gt;=0.35), "Vượt KPI", IF(AND(K94&gt;=20000, S94&gt;=0), "Đạt KPI", "Chưa đạt KPI"))</f>
        <v/>
      </c>
    </row>
    <row r="95">
      <c r="A95" s="14" t="inlineStr">
        <is>
          <t>SP-0092</t>
        </is>
      </c>
      <c r="B95" s="15" t="n">
        <v>46169</v>
      </c>
      <c r="C95" s="14" t="inlineStr">
        <is>
          <t>Tháng 05/2026</t>
        </is>
      </c>
      <c r="D95" s="14" t="inlineStr">
        <is>
          <t>Quý 2</t>
        </is>
      </c>
      <c r="E95" s="16" t="inlineStr">
        <is>
          <t>Ban Thời sự - Chính trị</t>
        </is>
      </c>
      <c r="F95" s="16" t="inlineStr">
        <is>
          <t>Nhóm Việt Anh</t>
        </is>
      </c>
      <c r="G95" s="16" t="inlineStr">
        <is>
          <t>Báo Điện tử (Web)</t>
        </is>
      </c>
      <c r="H95" s="16" t="inlineStr">
        <is>
          <t>Longform / E-magazine</t>
        </is>
      </c>
      <c r="I95" s="16" t="inlineStr">
        <is>
          <t>Chính sách &amp; Pháp luật</t>
        </is>
      </c>
      <c r="J95" s="16" t="inlineStr">
        <is>
          <t>Cơ bản (15%)</t>
        </is>
      </c>
      <c r="K95" s="17" t="n">
        <v>111582</v>
      </c>
      <c r="L95" s="17" t="n">
        <v>9138</v>
      </c>
      <c r="M95" s="18">
        <f>L95/K95</f>
        <v/>
      </c>
      <c r="N95" s="17" t="n">
        <v>206</v>
      </c>
      <c r="O95" s="18" t="n">
        <v>0.4004</v>
      </c>
      <c r="P95" s="17" t="n">
        <v>2950000</v>
      </c>
      <c r="Q95" s="17" t="n">
        <v>8200000</v>
      </c>
      <c r="R95" s="17">
        <f>Q95-P95</f>
        <v/>
      </c>
      <c r="S95" s="18">
        <f>(Q95-P95)/P95</f>
        <v/>
      </c>
      <c r="T95" s="14">
        <f>IF(AND(K95&gt;=50000, S95&gt;=0.35), "Vượt KPI", IF(AND(K95&gt;=20000, S95&gt;=0), "Đạt KPI", "Chưa đạt KPI"))</f>
        <v/>
      </c>
    </row>
    <row r="96">
      <c r="A96" s="10" t="inlineStr">
        <is>
          <t>SP-0093</t>
        </is>
      </c>
      <c r="B96" s="11" t="n">
        <v>46136</v>
      </c>
      <c r="C96" s="10" t="inlineStr">
        <is>
          <t>Tháng 04/2026</t>
        </is>
      </c>
      <c r="D96" s="10" t="inlineStr">
        <is>
          <t>Quý 2</t>
        </is>
      </c>
      <c r="E96" s="5" t="inlineStr">
        <is>
          <t>Ban Công nghệ &amp; AI</t>
        </is>
      </c>
      <c r="F96" s="5" t="inlineStr">
        <is>
          <t>Nhóm Gia Hưng</t>
        </is>
      </c>
      <c r="G96" s="5" t="inlineStr">
        <is>
          <t>Facebook Page</t>
        </is>
      </c>
      <c r="H96" s="5" t="inlineStr">
        <is>
          <t>Video Bản tin (3-5p)</t>
        </is>
      </c>
      <c r="I96" s="5" t="inlineStr">
        <is>
          <t>Kinh tế - Thị trường</t>
        </is>
      </c>
      <c r="J96" s="5" t="inlineStr">
        <is>
          <t>Cơ bản (15%)</t>
        </is>
      </c>
      <c r="K96" s="12" t="n">
        <v>496473</v>
      </c>
      <c r="L96" s="12" t="n">
        <v>19561</v>
      </c>
      <c r="M96" s="13">
        <f>L96/K96</f>
        <v/>
      </c>
      <c r="N96" s="12" t="n">
        <v>171</v>
      </c>
      <c r="O96" s="13" t="n">
        <v>0.6161</v>
      </c>
      <c r="P96" s="12" t="n">
        <v>3450000</v>
      </c>
      <c r="Q96" s="12" t="n">
        <v>10200000</v>
      </c>
      <c r="R96" s="12">
        <f>Q96-P96</f>
        <v/>
      </c>
      <c r="S96" s="13">
        <f>(Q96-P96)/P96</f>
        <v/>
      </c>
      <c r="T96" s="10">
        <f>IF(AND(K96&gt;=50000, S96&gt;=0.35), "Vượt KPI", IF(AND(K96&gt;=20000, S96&gt;=0), "Đạt KPI", "Chưa đạt KPI"))</f>
        <v/>
      </c>
    </row>
    <row r="97">
      <c r="A97" s="14" t="inlineStr">
        <is>
          <t>SP-0094</t>
        </is>
      </c>
      <c r="B97" s="15" t="n">
        <v>46148</v>
      </c>
      <c r="C97" s="14" t="inlineStr">
        <is>
          <t>Tháng 05/2026</t>
        </is>
      </c>
      <c r="D97" s="14" t="inlineStr">
        <is>
          <t>Quý 2</t>
        </is>
      </c>
      <c r="E97" s="16" t="inlineStr">
        <is>
          <t>Ban Video &amp; Truyền hình số</t>
        </is>
      </c>
      <c r="F97" s="16" t="inlineStr">
        <is>
          <t>Nhóm Quốc Bảo</t>
        </is>
      </c>
      <c r="G97" s="16" t="inlineStr">
        <is>
          <t>TikTok</t>
        </is>
      </c>
      <c r="H97" s="16" t="inlineStr">
        <is>
          <t>Short Video (&lt;60s)</t>
        </is>
      </c>
      <c r="I97" s="16" t="inlineStr">
        <is>
          <t>Chính sách &amp; Pháp luật</t>
        </is>
      </c>
      <c r="J97" s="16" t="inlineStr">
        <is>
          <t>Cơ bản (15%)</t>
        </is>
      </c>
      <c r="K97" s="17" t="n">
        <v>527976</v>
      </c>
      <c r="L97" s="17" t="n">
        <v>63673</v>
      </c>
      <c r="M97" s="18">
        <f>L97/K97</f>
        <v/>
      </c>
      <c r="N97" s="17" t="n">
        <v>83</v>
      </c>
      <c r="O97" s="18" t="n">
        <v>0.6082</v>
      </c>
      <c r="P97" s="17" t="n">
        <v>2800000</v>
      </c>
      <c r="Q97" s="17" t="n">
        <v>7900000</v>
      </c>
      <c r="R97" s="17">
        <f>Q97-P97</f>
        <v/>
      </c>
      <c r="S97" s="18">
        <f>(Q97-P97)/P97</f>
        <v/>
      </c>
      <c r="T97" s="14">
        <f>IF(AND(K97&gt;=50000, S97&gt;=0.35), "Vượt KPI", IF(AND(K97&gt;=20000, S97&gt;=0), "Đạt KPI", "Chưa đạt KPI"))</f>
        <v/>
      </c>
    </row>
    <row r="98">
      <c r="A98" s="10" t="inlineStr">
        <is>
          <t>SP-0095</t>
        </is>
      </c>
      <c r="B98" s="11" t="n">
        <v>46078</v>
      </c>
      <c r="C98" s="10" t="inlineStr">
        <is>
          <t>Tháng 02/2026</t>
        </is>
      </c>
      <c r="D98" s="10" t="inlineStr">
        <is>
          <t>Quý 1</t>
        </is>
      </c>
      <c r="E98" s="5" t="inlineStr">
        <is>
          <t>Ban Phóng sự - Điều tra</t>
        </is>
      </c>
      <c r="F98" s="5" t="inlineStr">
        <is>
          <t>Nhóm Khánh Linh</t>
        </is>
      </c>
      <c r="G98" s="5" t="inlineStr">
        <is>
          <t>Báo Điện tử (Web)</t>
        </is>
      </c>
      <c r="H98" s="5" t="inlineStr">
        <is>
          <t>Longform / E-magazine</t>
        </is>
      </c>
      <c r="I98" s="5" t="inlineStr">
        <is>
          <t>Đời sống - Xã hội</t>
        </is>
      </c>
      <c r="J98" s="5" t="inlineStr">
        <is>
          <t>Thủ công (0%)</t>
        </is>
      </c>
      <c r="K98" s="12" t="n">
        <v>58218</v>
      </c>
      <c r="L98" s="12" t="n">
        <v>4447</v>
      </c>
      <c r="M98" s="13">
        <f>L98/K98</f>
        <v/>
      </c>
      <c r="N98" s="12" t="n">
        <v>171</v>
      </c>
      <c r="O98" s="13" t="n">
        <v>0.3458</v>
      </c>
      <c r="P98" s="12" t="n">
        <v>5500000</v>
      </c>
      <c r="Q98" s="12" t="n">
        <v>4700000</v>
      </c>
      <c r="R98" s="12">
        <f>Q98-P98</f>
        <v/>
      </c>
      <c r="S98" s="13">
        <f>(Q98-P98)/P98</f>
        <v/>
      </c>
      <c r="T98" s="10">
        <f>IF(AND(K98&gt;=50000, S98&gt;=0.35), "Vượt KPI", IF(AND(K98&gt;=20000, S98&gt;=0), "Đạt KPI", "Chưa đạt KPI"))</f>
        <v/>
      </c>
    </row>
    <row r="99">
      <c r="A99" s="14" t="inlineStr">
        <is>
          <t>SP-0096</t>
        </is>
      </c>
      <c r="B99" s="15" t="n">
        <v>46064</v>
      </c>
      <c r="C99" s="14" t="inlineStr">
        <is>
          <t>Tháng 02/2026</t>
        </is>
      </c>
      <c r="D99" s="14" t="inlineStr">
        <is>
          <t>Quý 1</t>
        </is>
      </c>
      <c r="E99" s="16" t="inlineStr">
        <is>
          <t>Ban Công nghệ &amp; AI</t>
        </is>
      </c>
      <c r="F99" s="16" t="inlineStr">
        <is>
          <t>Nhóm Ngọc Ánh</t>
        </is>
      </c>
      <c r="G99" s="16" t="inlineStr">
        <is>
          <t>Podcast / Audio</t>
        </is>
      </c>
      <c r="H99" s="16" t="inlineStr">
        <is>
          <t>Điểm tin Audio AI (5p)</t>
        </is>
      </c>
      <c r="I99" s="16" t="inlineStr">
        <is>
          <t>Giáo dục &amp; Tuyển sinh</t>
        </is>
      </c>
      <c r="J99" s="16" t="inlineStr">
        <is>
          <t>Cơ bản (15%)</t>
        </is>
      </c>
      <c r="K99" s="17" t="n">
        <v>8754</v>
      </c>
      <c r="L99" s="17" t="n">
        <v>373</v>
      </c>
      <c r="M99" s="18">
        <f>L99/K99</f>
        <v/>
      </c>
      <c r="N99" s="17" t="n">
        <v>256</v>
      </c>
      <c r="O99" s="18" t="n">
        <v>0.6921</v>
      </c>
      <c r="P99" s="17" t="n">
        <v>2400000</v>
      </c>
      <c r="Q99" s="17" t="n">
        <v>12350000</v>
      </c>
      <c r="R99" s="17">
        <f>Q99-P99</f>
        <v/>
      </c>
      <c r="S99" s="18">
        <f>(Q99-P99)/P99</f>
        <v/>
      </c>
      <c r="T99" s="14">
        <f>IF(AND(K99&gt;=50000, S99&gt;=0.35), "Vượt KPI", IF(AND(K99&gt;=20000, S99&gt;=0), "Đạt KPI", "Chưa đạt KPI"))</f>
        <v/>
      </c>
    </row>
    <row r="100">
      <c r="A100" s="10" t="inlineStr">
        <is>
          <t>SP-0097</t>
        </is>
      </c>
      <c r="B100" s="11" t="n">
        <v>46176</v>
      </c>
      <c r="C100" s="10" t="inlineStr">
        <is>
          <t>Tháng 06/2026</t>
        </is>
      </c>
      <c r="D100" s="10" t="inlineStr">
        <is>
          <t>Quý 2</t>
        </is>
      </c>
      <c r="E100" s="5" t="inlineStr">
        <is>
          <t>Ban Công nghệ &amp; AI</t>
        </is>
      </c>
      <c r="F100" s="5" t="inlineStr">
        <is>
          <t>Nhóm Tuấn Kiệt</t>
        </is>
      </c>
      <c r="G100" s="5" t="inlineStr">
        <is>
          <t>TikTok</t>
        </is>
      </c>
      <c r="H100" s="5" t="inlineStr">
        <is>
          <t>TikTok Reel (1-3p)</t>
        </is>
      </c>
      <c r="I100" s="5" t="inlineStr">
        <is>
          <t>Kinh tế - Thị trường</t>
        </is>
      </c>
      <c r="J100" s="5" t="inlineStr">
        <is>
          <t>Toàn trình (70%)</t>
        </is>
      </c>
      <c r="K100" s="12" t="n">
        <v>198899</v>
      </c>
      <c r="L100" s="12" t="n">
        <v>14837</v>
      </c>
      <c r="M100" s="13">
        <f>L100/K100</f>
        <v/>
      </c>
      <c r="N100" s="12" t="n">
        <v>76</v>
      </c>
      <c r="O100" s="13" t="n">
        <v>0.6676</v>
      </c>
      <c r="P100" s="12" t="n">
        <v>1900000</v>
      </c>
      <c r="Q100" s="12" t="n">
        <v>850000</v>
      </c>
      <c r="R100" s="12">
        <f>Q100-P100</f>
        <v/>
      </c>
      <c r="S100" s="13">
        <f>(Q100-P100)/P100</f>
        <v/>
      </c>
      <c r="T100" s="10">
        <f>IF(AND(K100&gt;=50000, S100&gt;=0.35), "Vượt KPI", IF(AND(K100&gt;=20000, S100&gt;=0), "Đạt KPI", "Chưa đạt KPI"))</f>
        <v/>
      </c>
    </row>
    <row r="101">
      <c r="A101" s="14" t="inlineStr">
        <is>
          <t>SP-0098</t>
        </is>
      </c>
      <c r="B101" s="15" t="n">
        <v>46163</v>
      </c>
      <c r="C101" s="14" t="inlineStr">
        <is>
          <t>Tháng 05/2026</t>
        </is>
      </c>
      <c r="D101" s="14" t="inlineStr">
        <is>
          <t>Quý 2</t>
        </is>
      </c>
      <c r="E101" s="16" t="inlineStr">
        <is>
          <t>Ban Kinh tế - Tài chính</t>
        </is>
      </c>
      <c r="F101" s="16" t="inlineStr">
        <is>
          <t>Nhóm Đức Thịnh</t>
        </is>
      </c>
      <c r="G101" s="16" t="inlineStr">
        <is>
          <t>TikTok</t>
        </is>
      </c>
      <c r="H101" s="16" t="inlineStr">
        <is>
          <t>Short Video (&lt;60s)</t>
        </is>
      </c>
      <c r="I101" s="16" t="inlineStr">
        <is>
          <t>Tài chính Cá nhân &amp; Đầu tư</t>
        </is>
      </c>
      <c r="J101" s="16" t="inlineStr">
        <is>
          <t>Toàn trình (70%)</t>
        </is>
      </c>
      <c r="K101" s="17" t="n">
        <v>89308</v>
      </c>
      <c r="L101" s="17" t="n">
        <v>7189</v>
      </c>
      <c r="M101" s="18">
        <f>L101/K101</f>
        <v/>
      </c>
      <c r="N101" s="17" t="n">
        <v>21</v>
      </c>
      <c r="O101" s="18" t="n">
        <v>0.6954</v>
      </c>
      <c r="P101" s="17" t="n">
        <v>1650000</v>
      </c>
      <c r="Q101" s="17" t="n">
        <v>5450000</v>
      </c>
      <c r="R101" s="17">
        <f>Q101-P101</f>
        <v/>
      </c>
      <c r="S101" s="18">
        <f>(Q101-P101)/P101</f>
        <v/>
      </c>
      <c r="T101" s="14">
        <f>IF(AND(K101&gt;=50000, S101&gt;=0.35), "Vượt KPI", IF(AND(K101&gt;=20000, S101&gt;=0), "Đạt KPI", "Chưa đạt KPI"))</f>
        <v/>
      </c>
    </row>
    <row r="102">
      <c r="A102" s="10" t="inlineStr">
        <is>
          <t>SP-0099</t>
        </is>
      </c>
      <c r="B102" s="11" t="n">
        <v>46088</v>
      </c>
      <c r="C102" s="10" t="inlineStr">
        <is>
          <t>Tháng 03/2026</t>
        </is>
      </c>
      <c r="D102" s="10" t="inlineStr">
        <is>
          <t>Quý 1</t>
        </is>
      </c>
      <c r="E102" s="5" t="inlineStr">
        <is>
          <t>Ban Video &amp; Truyền hình số</t>
        </is>
      </c>
      <c r="F102" s="5" t="inlineStr">
        <is>
          <t>Nhóm Thu Trang</t>
        </is>
      </c>
      <c r="G102" s="5" t="inlineStr">
        <is>
          <t>YouTube</t>
        </is>
      </c>
      <c r="H102" s="5" t="inlineStr">
        <is>
          <t>YouTube Shorts</t>
        </is>
      </c>
      <c r="I102" s="5" t="inlineStr">
        <is>
          <t>Công nghệ &amp; AI</t>
        </is>
      </c>
      <c r="J102" s="5" t="inlineStr">
        <is>
          <t>Hỗ trợ sâu (40%)</t>
        </is>
      </c>
      <c r="K102" s="12" t="n">
        <v>187690</v>
      </c>
      <c r="L102" s="12" t="n">
        <v>14658</v>
      </c>
      <c r="M102" s="13">
        <f>L102/K102</f>
        <v/>
      </c>
      <c r="N102" s="12" t="n">
        <v>703</v>
      </c>
      <c r="O102" s="13" t="n">
        <v>0.7631</v>
      </c>
      <c r="P102" s="12" t="n">
        <v>6800000</v>
      </c>
      <c r="Q102" s="12" t="n">
        <v>4350000</v>
      </c>
      <c r="R102" s="12">
        <f>Q102-P102</f>
        <v/>
      </c>
      <c r="S102" s="13">
        <f>(Q102-P102)/P102</f>
        <v/>
      </c>
      <c r="T102" s="10">
        <f>IF(AND(K102&gt;=50000, S102&gt;=0.35), "Vượt KPI", IF(AND(K102&gt;=20000, S102&gt;=0), "Đạt KPI", "Chưa đạt KPI"))</f>
        <v/>
      </c>
    </row>
    <row r="103">
      <c r="A103" s="14" t="inlineStr">
        <is>
          <t>SP-0100</t>
        </is>
      </c>
      <c r="B103" s="15" t="n">
        <v>46084</v>
      </c>
      <c r="C103" s="14" t="inlineStr">
        <is>
          <t>Tháng 03/2026</t>
        </is>
      </c>
      <c r="D103" s="14" t="inlineStr">
        <is>
          <t>Quý 1</t>
        </is>
      </c>
      <c r="E103" s="16" t="inlineStr">
        <is>
          <t>Ban Video &amp; Truyền hình số</t>
        </is>
      </c>
      <c r="F103" s="16" t="inlineStr">
        <is>
          <t>Nhóm Hoàng Hải</t>
        </is>
      </c>
      <c r="G103" s="16" t="inlineStr">
        <is>
          <t>TikTok</t>
        </is>
      </c>
      <c r="H103" s="16" t="inlineStr">
        <is>
          <t>Short Video (&lt;60s)</t>
        </is>
      </c>
      <c r="I103" s="16" t="inlineStr">
        <is>
          <t>Phóng sự Điều tra</t>
        </is>
      </c>
      <c r="J103" s="16" t="inlineStr">
        <is>
          <t>Toàn trình (70%)</t>
        </is>
      </c>
      <c r="K103" s="17" t="n">
        <v>206626</v>
      </c>
      <c r="L103" s="17" t="n">
        <v>9360</v>
      </c>
      <c r="M103" s="18">
        <f>L103/K103</f>
        <v/>
      </c>
      <c r="N103" s="17" t="n">
        <v>18</v>
      </c>
      <c r="O103" s="18" t="n">
        <v>0.4331</v>
      </c>
      <c r="P103" s="17" t="n">
        <v>1250000</v>
      </c>
      <c r="Q103" s="17" t="n">
        <v>800000</v>
      </c>
      <c r="R103" s="17">
        <f>Q103-P103</f>
        <v/>
      </c>
      <c r="S103" s="18">
        <f>(Q103-P103)/P103</f>
        <v/>
      </c>
      <c r="T103" s="14">
        <f>IF(AND(K103&gt;=50000, S103&gt;=0.35), "Vượt KPI", IF(AND(K103&gt;=20000, S103&gt;=0), "Đạt KPI", "Chưa đạt KPI"))</f>
        <v/>
      </c>
    </row>
    <row r="104">
      <c r="A104" s="10" t="inlineStr">
        <is>
          <t>SP-0101</t>
        </is>
      </c>
      <c r="B104" s="11" t="n">
        <v>46034</v>
      </c>
      <c r="C104" s="10" t="inlineStr">
        <is>
          <t>Tháng 01/2026</t>
        </is>
      </c>
      <c r="D104" s="10" t="inlineStr">
        <is>
          <t>Quý 1</t>
        </is>
      </c>
      <c r="E104" s="5" t="inlineStr">
        <is>
          <t>Ban Thời sự - Chính trị</t>
        </is>
      </c>
      <c r="F104" s="5" t="inlineStr">
        <is>
          <t>Nhóm Việt Anh</t>
        </is>
      </c>
      <c r="G104" s="5" t="inlineStr">
        <is>
          <t>TikTok</t>
        </is>
      </c>
      <c r="H104" s="5" t="inlineStr">
        <is>
          <t>Short Video (&lt;60s)</t>
        </is>
      </c>
      <c r="I104" s="5" t="inlineStr">
        <is>
          <t>Phóng sự Điều tra</t>
        </is>
      </c>
      <c r="J104" s="5" t="inlineStr">
        <is>
          <t>Thủ công (0%)</t>
        </is>
      </c>
      <c r="K104" s="12" t="n">
        <v>170654</v>
      </c>
      <c r="L104" s="12" t="n">
        <v>14659</v>
      </c>
      <c r="M104" s="13">
        <f>L104/K104</f>
        <v/>
      </c>
      <c r="N104" s="12" t="n">
        <v>25</v>
      </c>
      <c r="O104" s="13" t="n">
        <v>0.3571</v>
      </c>
      <c r="P104" s="12" t="n">
        <v>3900000</v>
      </c>
      <c r="Q104" s="12" t="n">
        <v>13500000</v>
      </c>
      <c r="R104" s="12">
        <f>Q104-P104</f>
        <v/>
      </c>
      <c r="S104" s="13">
        <f>(Q104-P104)/P104</f>
        <v/>
      </c>
      <c r="T104" s="10">
        <f>IF(AND(K104&gt;=50000, S104&gt;=0.35), "Vượt KPI", IF(AND(K104&gt;=20000, S104&gt;=0), "Đạt KPI", "Chưa đạt KPI"))</f>
        <v/>
      </c>
    </row>
    <row r="105">
      <c r="A105" s="14" t="inlineStr">
        <is>
          <t>SP-0102</t>
        </is>
      </c>
      <c r="B105" s="15" t="n">
        <v>46199</v>
      </c>
      <c r="C105" s="14" t="inlineStr">
        <is>
          <t>Tháng 06/2026</t>
        </is>
      </c>
      <c r="D105" s="14" t="inlineStr">
        <is>
          <t>Quý 2</t>
        </is>
      </c>
      <c r="E105" s="16" t="inlineStr">
        <is>
          <t>Ban Phóng sự - Điều tra</t>
        </is>
      </c>
      <c r="F105" s="16" t="inlineStr">
        <is>
          <t>Nhóm Hải Đăng</t>
        </is>
      </c>
      <c r="G105" s="16" t="inlineStr">
        <is>
          <t>Báo Điện tử (Web)</t>
        </is>
      </c>
      <c r="H105" s="16" t="inlineStr">
        <is>
          <t>Tin bài Đa phương tiện</t>
        </is>
      </c>
      <c r="I105" s="16" t="inlineStr">
        <is>
          <t>Chính sách &amp; Pháp luật</t>
        </is>
      </c>
      <c r="J105" s="16" t="inlineStr">
        <is>
          <t>Cơ bản (15%)</t>
        </is>
      </c>
      <c r="K105" s="17" t="n">
        <v>71039</v>
      </c>
      <c r="L105" s="17" t="n">
        <v>5960</v>
      </c>
      <c r="M105" s="18">
        <f>L105/K105</f>
        <v/>
      </c>
      <c r="N105" s="17" t="n">
        <v>82</v>
      </c>
      <c r="O105" s="18" t="n">
        <v>0.6709000000000001</v>
      </c>
      <c r="P105" s="17" t="n">
        <v>1900000</v>
      </c>
      <c r="Q105" s="17" t="n">
        <v>3950000</v>
      </c>
      <c r="R105" s="17">
        <f>Q105-P105</f>
        <v/>
      </c>
      <c r="S105" s="18">
        <f>(Q105-P105)/P105</f>
        <v/>
      </c>
      <c r="T105" s="14">
        <f>IF(AND(K105&gt;=50000, S105&gt;=0.35), "Vượt KPI", IF(AND(K105&gt;=20000, S105&gt;=0), "Đạt KPI", "Chưa đạt KPI"))</f>
        <v/>
      </c>
    </row>
    <row r="106">
      <c r="A106" s="10" t="inlineStr">
        <is>
          <t>SP-0103</t>
        </is>
      </c>
      <c r="B106" s="11" t="n">
        <v>46195</v>
      </c>
      <c r="C106" s="10" t="inlineStr">
        <is>
          <t>Tháng 06/2026</t>
        </is>
      </c>
      <c r="D106" s="10" t="inlineStr">
        <is>
          <t>Quý 2</t>
        </is>
      </c>
      <c r="E106" s="5" t="inlineStr">
        <is>
          <t>Ban Video &amp; Truyền hình số</t>
        </is>
      </c>
      <c r="F106" s="5" t="inlineStr">
        <is>
          <t>Nhóm Quốc Bảo</t>
        </is>
      </c>
      <c r="G106" s="5" t="inlineStr">
        <is>
          <t>TikTok</t>
        </is>
      </c>
      <c r="H106" s="5" t="inlineStr">
        <is>
          <t>Short Video (&lt;60s)</t>
        </is>
      </c>
      <c r="I106" s="5" t="inlineStr">
        <is>
          <t>Kinh tế - Thị trường</t>
        </is>
      </c>
      <c r="J106" s="5" t="inlineStr">
        <is>
          <t>Cơ bản (15%)</t>
        </is>
      </c>
      <c r="K106" s="12" t="n">
        <v>944884</v>
      </c>
      <c r="L106" s="12" t="n">
        <v>50551</v>
      </c>
      <c r="M106" s="13">
        <f>L106/K106</f>
        <v/>
      </c>
      <c r="N106" s="12" t="n">
        <v>40</v>
      </c>
      <c r="O106" s="13" t="n">
        <v>0.5155999999999999</v>
      </c>
      <c r="P106" s="12" t="n">
        <v>800000</v>
      </c>
      <c r="Q106" s="12" t="n">
        <v>2500000</v>
      </c>
      <c r="R106" s="12">
        <f>Q106-P106</f>
        <v/>
      </c>
      <c r="S106" s="13">
        <f>(Q106-P106)/P106</f>
        <v/>
      </c>
      <c r="T106" s="10">
        <f>IF(AND(K106&gt;=50000, S106&gt;=0.35), "Vượt KPI", IF(AND(K106&gt;=20000, S106&gt;=0), "Đạt KPI", "Chưa đạt KPI"))</f>
        <v/>
      </c>
    </row>
    <row r="107">
      <c r="A107" s="14" t="inlineStr">
        <is>
          <t>SP-0104</t>
        </is>
      </c>
      <c r="B107" s="15" t="n">
        <v>46099</v>
      </c>
      <c r="C107" s="14" t="inlineStr">
        <is>
          <t>Tháng 03/2026</t>
        </is>
      </c>
      <c r="D107" s="14" t="inlineStr">
        <is>
          <t>Quý 1</t>
        </is>
      </c>
      <c r="E107" s="16" t="inlineStr">
        <is>
          <t>Ban Kinh tế - Tài chính</t>
        </is>
      </c>
      <c r="F107" s="16" t="inlineStr">
        <is>
          <t>Nhóm Minh Tuấn</t>
        </is>
      </c>
      <c r="G107" s="16" t="inlineStr">
        <is>
          <t>YouTube</t>
        </is>
      </c>
      <c r="H107" s="16" t="inlineStr">
        <is>
          <t>YouTube Long-form (10-25p)</t>
        </is>
      </c>
      <c r="I107" s="16" t="inlineStr">
        <is>
          <t>Tài chính Cá nhân &amp; Đầu tư</t>
        </is>
      </c>
      <c r="J107" s="16" t="inlineStr">
        <is>
          <t>Toàn trình (70%)</t>
        </is>
      </c>
      <c r="K107" s="17" t="n">
        <v>393739</v>
      </c>
      <c r="L107" s="17" t="n">
        <v>31262</v>
      </c>
      <c r="M107" s="18">
        <f>L107/K107</f>
        <v/>
      </c>
      <c r="N107" s="17" t="n">
        <v>425</v>
      </c>
      <c r="O107" s="18" t="n">
        <v>0.8008</v>
      </c>
      <c r="P107" s="17" t="n">
        <v>10250000</v>
      </c>
      <c r="Q107" s="17" t="n">
        <v>51700000</v>
      </c>
      <c r="R107" s="17">
        <f>Q107-P107</f>
        <v/>
      </c>
      <c r="S107" s="18">
        <f>(Q107-P107)/P107</f>
        <v/>
      </c>
      <c r="T107" s="14">
        <f>IF(AND(K107&gt;=50000, S107&gt;=0.35), "Vượt KPI", IF(AND(K107&gt;=20000, S107&gt;=0), "Đạt KPI", "Chưa đạt KPI"))</f>
        <v/>
      </c>
    </row>
    <row r="108">
      <c r="A108" s="10" t="inlineStr">
        <is>
          <t>SP-0105</t>
        </is>
      </c>
      <c r="B108" s="11" t="n">
        <v>46115</v>
      </c>
      <c r="C108" s="10" t="inlineStr">
        <is>
          <t>Tháng 04/2026</t>
        </is>
      </c>
      <c r="D108" s="10" t="inlineStr">
        <is>
          <t>Quý 2</t>
        </is>
      </c>
      <c r="E108" s="5" t="inlineStr">
        <is>
          <t>Ban Thời sự - Chính trị</t>
        </is>
      </c>
      <c r="F108" s="5" t="inlineStr">
        <is>
          <t>Nhóm Thanh Tâm</t>
        </is>
      </c>
      <c r="G108" s="5" t="inlineStr">
        <is>
          <t>TikTok</t>
        </is>
      </c>
      <c r="H108" s="5" t="inlineStr">
        <is>
          <t>Short Video (&lt;60s)</t>
        </is>
      </c>
      <c r="I108" s="5" t="inlineStr">
        <is>
          <t>Công nghệ &amp; AI</t>
        </is>
      </c>
      <c r="J108" s="5" t="inlineStr">
        <is>
          <t>Hỗ trợ sâu (40%)</t>
        </is>
      </c>
      <c r="K108" s="12" t="n">
        <v>730328</v>
      </c>
      <c r="L108" s="12" t="n">
        <v>56600</v>
      </c>
      <c r="M108" s="13">
        <f>L108/K108</f>
        <v/>
      </c>
      <c r="N108" s="12" t="n">
        <v>80</v>
      </c>
      <c r="O108" s="13" t="n">
        <v>0.5689</v>
      </c>
      <c r="P108" s="12" t="n">
        <v>1000000</v>
      </c>
      <c r="Q108" s="12" t="n">
        <v>1250000</v>
      </c>
      <c r="R108" s="12">
        <f>Q108-P108</f>
        <v/>
      </c>
      <c r="S108" s="13">
        <f>(Q108-P108)/P108</f>
        <v/>
      </c>
      <c r="T108" s="10">
        <f>IF(AND(K108&gt;=50000, S108&gt;=0.35), "Vượt KPI", IF(AND(K108&gt;=20000, S108&gt;=0), "Đạt KPI", "Chưa đạt KPI"))</f>
        <v/>
      </c>
    </row>
    <row r="109">
      <c r="A109" s="14" t="inlineStr">
        <is>
          <t>SP-0106</t>
        </is>
      </c>
      <c r="B109" s="15" t="n">
        <v>46118</v>
      </c>
      <c r="C109" s="14" t="inlineStr">
        <is>
          <t>Tháng 04/2026</t>
        </is>
      </c>
      <c r="D109" s="14" t="inlineStr">
        <is>
          <t>Quý 2</t>
        </is>
      </c>
      <c r="E109" s="16" t="inlineStr">
        <is>
          <t>Ban Video &amp; Truyền hình số</t>
        </is>
      </c>
      <c r="F109" s="16" t="inlineStr">
        <is>
          <t>Nhóm Hoàng Hải</t>
        </is>
      </c>
      <c r="G109" s="16" t="inlineStr">
        <is>
          <t>Báo Điện tử (Web)</t>
        </is>
      </c>
      <c r="H109" s="16" t="inlineStr">
        <is>
          <t>Infographic / Mega Story</t>
        </is>
      </c>
      <c r="I109" s="16" t="inlineStr">
        <is>
          <t>Kinh tế - Thị trường</t>
        </is>
      </c>
      <c r="J109" s="16" t="inlineStr">
        <is>
          <t>Cơ bản (15%)</t>
        </is>
      </c>
      <c r="K109" s="17" t="n">
        <v>8338</v>
      </c>
      <c r="L109" s="17" t="n">
        <v>362</v>
      </c>
      <c r="M109" s="18">
        <f>L109/K109</f>
        <v/>
      </c>
      <c r="N109" s="17" t="n">
        <v>167</v>
      </c>
      <c r="O109" s="18" t="n">
        <v>0.5286</v>
      </c>
      <c r="P109" s="17" t="n">
        <v>5700000</v>
      </c>
      <c r="Q109" s="17" t="n">
        <v>4900000</v>
      </c>
      <c r="R109" s="17">
        <f>Q109-P109</f>
        <v/>
      </c>
      <c r="S109" s="18">
        <f>(Q109-P109)/P109</f>
        <v/>
      </c>
      <c r="T109" s="14">
        <f>IF(AND(K109&gt;=50000, S109&gt;=0.35), "Vượt KPI", IF(AND(K109&gt;=20000, S109&gt;=0), "Đạt KPI", "Chưa đạt KPI"))</f>
        <v/>
      </c>
    </row>
    <row r="110">
      <c r="A110" s="10" t="inlineStr">
        <is>
          <t>SP-0107</t>
        </is>
      </c>
      <c r="B110" s="11" t="n">
        <v>46163</v>
      </c>
      <c r="C110" s="10" t="inlineStr">
        <is>
          <t>Tháng 05/2026</t>
        </is>
      </c>
      <c r="D110" s="10" t="inlineStr">
        <is>
          <t>Quý 2</t>
        </is>
      </c>
      <c r="E110" s="5" t="inlineStr">
        <is>
          <t>Ban Đời sống - Giới trẻ</t>
        </is>
      </c>
      <c r="F110" s="5" t="inlineStr">
        <is>
          <t>Nhóm Bảo Ngọc</t>
        </is>
      </c>
      <c r="G110" s="5" t="inlineStr">
        <is>
          <t>TikTok</t>
        </is>
      </c>
      <c r="H110" s="5" t="inlineStr">
        <is>
          <t>Short Video (&lt;60s)</t>
        </is>
      </c>
      <c r="I110" s="5" t="inlineStr">
        <is>
          <t>Tài chính Cá nhân &amp; Đầu tư</t>
        </is>
      </c>
      <c r="J110" s="5" t="inlineStr">
        <is>
          <t>Toàn trình (70%)</t>
        </is>
      </c>
      <c r="K110" s="12" t="n">
        <v>490310</v>
      </c>
      <c r="L110" s="12" t="n">
        <v>43833</v>
      </c>
      <c r="M110" s="13">
        <f>L110/K110</f>
        <v/>
      </c>
      <c r="N110" s="12" t="n">
        <v>18</v>
      </c>
      <c r="O110" s="13" t="n">
        <v>0.4131</v>
      </c>
      <c r="P110" s="12" t="n">
        <v>750000</v>
      </c>
      <c r="Q110" s="12" t="n">
        <v>350000</v>
      </c>
      <c r="R110" s="12">
        <f>Q110-P110</f>
        <v/>
      </c>
      <c r="S110" s="13">
        <f>(Q110-P110)/P110</f>
        <v/>
      </c>
      <c r="T110" s="10">
        <f>IF(AND(K110&gt;=50000, S110&gt;=0.35), "Vượt KPI", IF(AND(K110&gt;=20000, S110&gt;=0), "Đạt KPI", "Chưa đạt KPI"))</f>
        <v/>
      </c>
    </row>
    <row r="111">
      <c r="A111" s="14" t="inlineStr">
        <is>
          <t>SP-0108</t>
        </is>
      </c>
      <c r="B111" s="15" t="n">
        <v>46074</v>
      </c>
      <c r="C111" s="14" t="inlineStr">
        <is>
          <t>Tháng 02/2026</t>
        </is>
      </c>
      <c r="D111" s="14" t="inlineStr">
        <is>
          <t>Quý 1</t>
        </is>
      </c>
      <c r="E111" s="16" t="inlineStr">
        <is>
          <t>Ban Thời sự - Chính trị</t>
        </is>
      </c>
      <c r="F111" s="16" t="inlineStr">
        <is>
          <t>Nhóm Thanh Tâm</t>
        </is>
      </c>
      <c r="G111" s="16" t="inlineStr">
        <is>
          <t>Facebook Page</t>
        </is>
      </c>
      <c r="H111" s="16" t="inlineStr">
        <is>
          <t>Video Bản tin (3-5p)</t>
        </is>
      </c>
      <c r="I111" s="16" t="inlineStr">
        <is>
          <t>Đời sống - Xã hội</t>
        </is>
      </c>
      <c r="J111" s="16" t="inlineStr">
        <is>
          <t>Hỗ trợ sâu (40%)</t>
        </is>
      </c>
      <c r="K111" s="17" t="n">
        <v>277409</v>
      </c>
      <c r="L111" s="17" t="n">
        <v>20861</v>
      </c>
      <c r="M111" s="18">
        <f>L111/K111</f>
        <v/>
      </c>
      <c r="N111" s="17" t="n">
        <v>57</v>
      </c>
      <c r="O111" s="18" t="n">
        <v>0.6244</v>
      </c>
      <c r="P111" s="17" t="n">
        <v>2200000</v>
      </c>
      <c r="Q111" s="17" t="n">
        <v>5600000</v>
      </c>
      <c r="R111" s="17">
        <f>Q111-P111</f>
        <v/>
      </c>
      <c r="S111" s="18">
        <f>(Q111-P111)/P111</f>
        <v/>
      </c>
      <c r="T111" s="14">
        <f>IF(AND(K111&gt;=50000, S111&gt;=0.35), "Vượt KPI", IF(AND(K111&gt;=20000, S111&gt;=0), "Đạt KPI", "Chưa đạt KPI"))</f>
        <v/>
      </c>
    </row>
    <row r="112">
      <c r="A112" s="10" t="inlineStr">
        <is>
          <t>SP-0109</t>
        </is>
      </c>
      <c r="B112" s="11" t="n">
        <v>46104</v>
      </c>
      <c r="C112" s="10" t="inlineStr">
        <is>
          <t>Tháng 03/2026</t>
        </is>
      </c>
      <c r="D112" s="10" t="inlineStr">
        <is>
          <t>Quý 1</t>
        </is>
      </c>
      <c r="E112" s="5" t="inlineStr">
        <is>
          <t>Ban Video &amp; Truyền hình số</t>
        </is>
      </c>
      <c r="F112" s="5" t="inlineStr">
        <is>
          <t>Nhóm Hoàng Hải</t>
        </is>
      </c>
      <c r="G112" s="5" t="inlineStr">
        <is>
          <t>TikTok</t>
        </is>
      </c>
      <c r="H112" s="5" t="inlineStr">
        <is>
          <t>TikTok Reel (1-3p)</t>
        </is>
      </c>
      <c r="I112" s="5" t="inlineStr">
        <is>
          <t>Tài chính Cá nhân &amp; Đầu tư</t>
        </is>
      </c>
      <c r="J112" s="5" t="inlineStr">
        <is>
          <t>Toàn trình (70%)</t>
        </is>
      </c>
      <c r="K112" s="12" t="n">
        <v>120065</v>
      </c>
      <c r="L112" s="12" t="n">
        <v>8716</v>
      </c>
      <c r="M112" s="13">
        <f>L112/K112</f>
        <v/>
      </c>
      <c r="N112" s="12" t="n">
        <v>22</v>
      </c>
      <c r="O112" s="13" t="n">
        <v>0.3772</v>
      </c>
      <c r="P112" s="12" t="n">
        <v>850000</v>
      </c>
      <c r="Q112" s="12" t="n">
        <v>2100000</v>
      </c>
      <c r="R112" s="12">
        <f>Q112-P112</f>
        <v/>
      </c>
      <c r="S112" s="13">
        <f>(Q112-P112)/P112</f>
        <v/>
      </c>
      <c r="T112" s="10">
        <f>IF(AND(K112&gt;=50000, S112&gt;=0.35), "Vượt KPI", IF(AND(K112&gt;=20000, S112&gt;=0), "Đạt KPI", "Chưa đạt KPI"))</f>
        <v/>
      </c>
    </row>
    <row r="113">
      <c r="A113" s="14" t="inlineStr">
        <is>
          <t>SP-0110</t>
        </is>
      </c>
      <c r="B113" s="15" t="n">
        <v>46161</v>
      </c>
      <c r="C113" s="14" t="inlineStr">
        <is>
          <t>Tháng 05/2026</t>
        </is>
      </c>
      <c r="D113" s="14" t="inlineStr">
        <is>
          <t>Quý 2</t>
        </is>
      </c>
      <c r="E113" s="16" t="inlineStr">
        <is>
          <t>Ban Phóng sự - Điều tra</t>
        </is>
      </c>
      <c r="F113" s="16" t="inlineStr">
        <is>
          <t>Nhóm Hải Đăng</t>
        </is>
      </c>
      <c r="G113" s="16" t="inlineStr">
        <is>
          <t>Facebook Page</t>
        </is>
      </c>
      <c r="H113" s="16" t="inlineStr">
        <is>
          <t>Facebook Reels</t>
        </is>
      </c>
      <c r="I113" s="16" t="inlineStr">
        <is>
          <t>Đời sống - Xã hội</t>
        </is>
      </c>
      <c r="J113" s="16" t="inlineStr">
        <is>
          <t>Hỗ trợ sâu (40%)</t>
        </is>
      </c>
      <c r="K113" s="17" t="n">
        <v>576559</v>
      </c>
      <c r="L113" s="17" t="n">
        <v>45375</v>
      </c>
      <c r="M113" s="18">
        <f>L113/K113</f>
        <v/>
      </c>
      <c r="N113" s="17" t="n">
        <v>168</v>
      </c>
      <c r="O113" s="18" t="n">
        <v>0.717</v>
      </c>
      <c r="P113" s="17" t="n">
        <v>800000</v>
      </c>
      <c r="Q113" s="17" t="n">
        <v>3300000</v>
      </c>
      <c r="R113" s="17">
        <f>Q113-P113</f>
        <v/>
      </c>
      <c r="S113" s="18">
        <f>(Q113-P113)/P113</f>
        <v/>
      </c>
      <c r="T113" s="14">
        <f>IF(AND(K113&gt;=50000, S113&gt;=0.35), "Vượt KPI", IF(AND(K113&gt;=20000, S113&gt;=0), "Đạt KPI", "Chưa đạt KPI"))</f>
        <v/>
      </c>
    </row>
    <row r="114">
      <c r="A114" s="10" t="inlineStr">
        <is>
          <t>SP-0111</t>
        </is>
      </c>
      <c r="B114" s="11" t="n">
        <v>46045</v>
      </c>
      <c r="C114" s="10" t="inlineStr">
        <is>
          <t>Tháng 01/2026</t>
        </is>
      </c>
      <c r="D114" s="10" t="inlineStr">
        <is>
          <t>Quý 1</t>
        </is>
      </c>
      <c r="E114" s="5" t="inlineStr">
        <is>
          <t>Ban Video &amp; Truyền hình số</t>
        </is>
      </c>
      <c r="F114" s="5" t="inlineStr">
        <is>
          <t>Nhóm Quốc Bảo</t>
        </is>
      </c>
      <c r="G114" s="5" t="inlineStr">
        <is>
          <t>TikTok</t>
        </is>
      </c>
      <c r="H114" s="5" t="inlineStr">
        <is>
          <t>TikTok Reel (1-3p)</t>
        </is>
      </c>
      <c r="I114" s="5" t="inlineStr">
        <is>
          <t>Phóng sự Điều tra</t>
        </is>
      </c>
      <c r="J114" s="5" t="inlineStr">
        <is>
          <t>Cơ bản (15%)</t>
        </is>
      </c>
      <c r="K114" s="12" t="n">
        <v>1003110</v>
      </c>
      <c r="L114" s="12" t="n">
        <v>50957</v>
      </c>
      <c r="M114" s="13">
        <f>L114/K114</f>
        <v/>
      </c>
      <c r="N114" s="12" t="n">
        <v>67</v>
      </c>
      <c r="O114" s="13" t="n">
        <v>0.3876</v>
      </c>
      <c r="P114" s="12" t="n">
        <v>4200000</v>
      </c>
      <c r="Q114" s="12" t="n">
        <v>11150000</v>
      </c>
      <c r="R114" s="12">
        <f>Q114-P114</f>
        <v/>
      </c>
      <c r="S114" s="13">
        <f>(Q114-P114)/P114</f>
        <v/>
      </c>
      <c r="T114" s="10">
        <f>IF(AND(K114&gt;=50000, S114&gt;=0.35), "Vượt KPI", IF(AND(K114&gt;=20000, S114&gt;=0), "Đạt KPI", "Chưa đạt KPI"))</f>
        <v/>
      </c>
    </row>
    <row r="115">
      <c r="A115" s="14" t="inlineStr">
        <is>
          <t>SP-0112</t>
        </is>
      </c>
      <c r="B115" s="15" t="n">
        <v>46095</v>
      </c>
      <c r="C115" s="14" t="inlineStr">
        <is>
          <t>Tháng 03/2026</t>
        </is>
      </c>
      <c r="D115" s="14" t="inlineStr">
        <is>
          <t>Quý 1</t>
        </is>
      </c>
      <c r="E115" s="16" t="inlineStr">
        <is>
          <t>Ban Kinh tế - Tài chính</t>
        </is>
      </c>
      <c r="F115" s="16" t="inlineStr">
        <is>
          <t>Nhóm Đức Thịnh</t>
        </is>
      </c>
      <c r="G115" s="16" t="inlineStr">
        <is>
          <t>YouTube</t>
        </is>
      </c>
      <c r="H115" s="16" t="inlineStr">
        <is>
          <t>YouTube Shorts</t>
        </is>
      </c>
      <c r="I115" s="16" t="inlineStr">
        <is>
          <t>Chính sách &amp; Pháp luật</t>
        </is>
      </c>
      <c r="J115" s="16" t="inlineStr">
        <is>
          <t>Cơ bản (15%)</t>
        </is>
      </c>
      <c r="K115" s="17" t="n">
        <v>760360</v>
      </c>
      <c r="L115" s="17" t="n">
        <v>17640</v>
      </c>
      <c r="M115" s="18">
        <f>L115/K115</f>
        <v/>
      </c>
      <c r="N115" s="17" t="n">
        <v>122</v>
      </c>
      <c r="O115" s="18" t="n">
        <v>0.4215</v>
      </c>
      <c r="P115" s="17" t="n">
        <v>3850000</v>
      </c>
      <c r="Q115" s="17" t="n">
        <v>6550000</v>
      </c>
      <c r="R115" s="17">
        <f>Q115-P115</f>
        <v/>
      </c>
      <c r="S115" s="18">
        <f>(Q115-P115)/P115</f>
        <v/>
      </c>
      <c r="T115" s="14">
        <f>IF(AND(K115&gt;=50000, S115&gt;=0.35), "Vượt KPI", IF(AND(K115&gt;=20000, S115&gt;=0), "Đạt KPI", "Chưa đạt KPI"))</f>
        <v/>
      </c>
    </row>
    <row r="116">
      <c r="A116" s="10" t="inlineStr">
        <is>
          <t>SP-0113</t>
        </is>
      </c>
      <c r="B116" s="11" t="n">
        <v>46113</v>
      </c>
      <c r="C116" s="10" t="inlineStr">
        <is>
          <t>Tháng 04/2026</t>
        </is>
      </c>
      <c r="D116" s="10" t="inlineStr">
        <is>
          <t>Quý 2</t>
        </is>
      </c>
      <c r="E116" s="5" t="inlineStr">
        <is>
          <t>Ban Thời sự - Chính trị</t>
        </is>
      </c>
      <c r="F116" s="5" t="inlineStr">
        <is>
          <t>Nhóm Quang Huy</t>
        </is>
      </c>
      <c r="G116" s="5" t="inlineStr">
        <is>
          <t>YouTube</t>
        </is>
      </c>
      <c r="H116" s="5" t="inlineStr">
        <is>
          <t>YouTube Long-form (10-25p)</t>
        </is>
      </c>
      <c r="I116" s="5" t="inlineStr">
        <is>
          <t>Phóng sự Điều tra</t>
        </is>
      </c>
      <c r="J116" s="5" t="inlineStr">
        <is>
          <t>Hỗ trợ sâu (40%)</t>
        </is>
      </c>
      <c r="K116" s="12" t="n">
        <v>153485</v>
      </c>
      <c r="L116" s="12" t="n">
        <v>7505</v>
      </c>
      <c r="M116" s="13">
        <f>L116/K116</f>
        <v/>
      </c>
      <c r="N116" s="12" t="n">
        <v>572</v>
      </c>
      <c r="O116" s="13" t="n">
        <v>0.3819</v>
      </c>
      <c r="P116" s="12" t="n">
        <v>11750000</v>
      </c>
      <c r="Q116" s="12" t="n">
        <v>32600000</v>
      </c>
      <c r="R116" s="12">
        <f>Q116-P116</f>
        <v/>
      </c>
      <c r="S116" s="13">
        <f>(Q116-P116)/P116</f>
        <v/>
      </c>
      <c r="T116" s="10">
        <f>IF(AND(K116&gt;=50000, S116&gt;=0.35), "Vượt KPI", IF(AND(K116&gt;=20000, S116&gt;=0), "Đạt KPI", "Chưa đạt KPI"))</f>
        <v/>
      </c>
    </row>
    <row r="117">
      <c r="A117" s="14" t="inlineStr">
        <is>
          <t>SP-0114</t>
        </is>
      </c>
      <c r="B117" s="15" t="n">
        <v>46168</v>
      </c>
      <c r="C117" s="14" t="inlineStr">
        <is>
          <t>Tháng 05/2026</t>
        </is>
      </c>
      <c r="D117" s="14" t="inlineStr">
        <is>
          <t>Quý 2</t>
        </is>
      </c>
      <c r="E117" s="16" t="inlineStr">
        <is>
          <t>Ban Công nghệ &amp; AI</t>
        </is>
      </c>
      <c r="F117" s="16" t="inlineStr">
        <is>
          <t>Nhóm Tuấn Kiệt</t>
        </is>
      </c>
      <c r="G117" s="16" t="inlineStr">
        <is>
          <t>YouTube</t>
        </is>
      </c>
      <c r="H117" s="16" t="inlineStr">
        <is>
          <t>YouTube Shorts</t>
        </is>
      </c>
      <c r="I117" s="16" t="inlineStr">
        <is>
          <t>Công nghệ &amp; AI</t>
        </is>
      </c>
      <c r="J117" s="16" t="inlineStr">
        <is>
          <t>Thủ công (0%)</t>
        </is>
      </c>
      <c r="K117" s="17" t="n">
        <v>120925</v>
      </c>
      <c r="L117" s="17" t="n">
        <v>4546</v>
      </c>
      <c r="M117" s="18">
        <f>L117/K117</f>
        <v/>
      </c>
      <c r="N117" s="17" t="n">
        <v>419</v>
      </c>
      <c r="O117" s="18" t="n">
        <v>0.5780999999999999</v>
      </c>
      <c r="P117" s="17" t="n">
        <v>4050000</v>
      </c>
      <c r="Q117" s="17" t="n">
        <v>7000000</v>
      </c>
      <c r="R117" s="17">
        <f>Q117-P117</f>
        <v/>
      </c>
      <c r="S117" s="18">
        <f>(Q117-P117)/P117</f>
        <v/>
      </c>
      <c r="T117" s="14">
        <f>IF(AND(K117&gt;=50000, S117&gt;=0.35), "Vượt KPI", IF(AND(K117&gt;=20000, S117&gt;=0), "Đạt KPI", "Chưa đạt KPI"))</f>
        <v/>
      </c>
    </row>
    <row r="118">
      <c r="A118" s="10" t="inlineStr">
        <is>
          <t>SP-0115</t>
        </is>
      </c>
      <c r="B118" s="11" t="n">
        <v>46166</v>
      </c>
      <c r="C118" s="10" t="inlineStr">
        <is>
          <t>Tháng 05/2026</t>
        </is>
      </c>
      <c r="D118" s="10" t="inlineStr">
        <is>
          <t>Quý 2</t>
        </is>
      </c>
      <c r="E118" s="5" t="inlineStr">
        <is>
          <t>Ban Thời sự - Chính trị</t>
        </is>
      </c>
      <c r="F118" s="5" t="inlineStr">
        <is>
          <t>Nhóm Quang Huy</t>
        </is>
      </c>
      <c r="G118" s="5" t="inlineStr">
        <is>
          <t>TikTok</t>
        </is>
      </c>
      <c r="H118" s="5" t="inlineStr">
        <is>
          <t>Short Video (&lt;60s)</t>
        </is>
      </c>
      <c r="I118" s="5" t="inlineStr">
        <is>
          <t>Tài chính Cá nhân &amp; Đầu tư</t>
        </is>
      </c>
      <c r="J118" s="5" t="inlineStr">
        <is>
          <t>Cơ bản (15%)</t>
        </is>
      </c>
      <c r="K118" s="12" t="n">
        <v>588136</v>
      </c>
      <c r="L118" s="12" t="n">
        <v>44227</v>
      </c>
      <c r="M118" s="13">
        <f>L118/K118</f>
        <v/>
      </c>
      <c r="N118" s="12" t="n">
        <v>55</v>
      </c>
      <c r="O118" s="13" t="n">
        <v>0.6798</v>
      </c>
      <c r="P118" s="12" t="n">
        <v>2700000</v>
      </c>
      <c r="Q118" s="12" t="n">
        <v>8950000</v>
      </c>
      <c r="R118" s="12">
        <f>Q118-P118</f>
        <v/>
      </c>
      <c r="S118" s="13">
        <f>(Q118-P118)/P118</f>
        <v/>
      </c>
      <c r="T118" s="10">
        <f>IF(AND(K118&gt;=50000, S118&gt;=0.35), "Vượt KPI", IF(AND(K118&gt;=20000, S118&gt;=0), "Đạt KPI", "Chưa đạt KPI"))</f>
        <v/>
      </c>
    </row>
    <row r="119">
      <c r="A119" s="14" t="inlineStr">
        <is>
          <t>SP-0116</t>
        </is>
      </c>
      <c r="B119" s="15" t="n">
        <v>46082</v>
      </c>
      <c r="C119" s="14" t="inlineStr">
        <is>
          <t>Tháng 03/2026</t>
        </is>
      </c>
      <c r="D119" s="14" t="inlineStr">
        <is>
          <t>Quý 1</t>
        </is>
      </c>
      <c r="E119" s="16" t="inlineStr">
        <is>
          <t>Ban Kinh tế - Tài chính</t>
        </is>
      </c>
      <c r="F119" s="16" t="inlineStr">
        <is>
          <t>Nhóm Lan Hương</t>
        </is>
      </c>
      <c r="G119" s="16" t="inlineStr">
        <is>
          <t>Facebook Page</t>
        </is>
      </c>
      <c r="H119" s="16" t="inlineStr">
        <is>
          <t>Video Bản tin (3-5p)</t>
        </is>
      </c>
      <c r="I119" s="16" t="inlineStr">
        <is>
          <t>Tài chính Cá nhân &amp; Đầu tư</t>
        </is>
      </c>
      <c r="J119" s="16" t="inlineStr">
        <is>
          <t>Hỗ trợ sâu (40%)</t>
        </is>
      </c>
      <c r="K119" s="17" t="n">
        <v>80583</v>
      </c>
      <c r="L119" s="17" t="n">
        <v>5769</v>
      </c>
      <c r="M119" s="18">
        <f>L119/K119</f>
        <v/>
      </c>
      <c r="N119" s="17" t="n">
        <v>67</v>
      </c>
      <c r="O119" s="18" t="n">
        <v>0.6723</v>
      </c>
      <c r="P119" s="17" t="n">
        <v>1900000</v>
      </c>
      <c r="Q119" s="17" t="n">
        <v>1500000</v>
      </c>
      <c r="R119" s="17">
        <f>Q119-P119</f>
        <v/>
      </c>
      <c r="S119" s="18">
        <f>(Q119-P119)/P119</f>
        <v/>
      </c>
      <c r="T119" s="14">
        <f>IF(AND(K119&gt;=50000, S119&gt;=0.35), "Vượt KPI", IF(AND(K119&gt;=20000, S119&gt;=0), "Đạt KPI", "Chưa đạt KPI"))</f>
        <v/>
      </c>
    </row>
    <row r="120">
      <c r="A120" s="10" t="inlineStr">
        <is>
          <t>SP-0117</t>
        </is>
      </c>
      <c r="B120" s="11" t="n">
        <v>46140</v>
      </c>
      <c r="C120" s="10" t="inlineStr">
        <is>
          <t>Tháng 04/2026</t>
        </is>
      </c>
      <c r="D120" s="10" t="inlineStr">
        <is>
          <t>Quý 2</t>
        </is>
      </c>
      <c r="E120" s="5" t="inlineStr">
        <is>
          <t>Ban Đời sống - Giới trẻ</t>
        </is>
      </c>
      <c r="F120" s="5" t="inlineStr">
        <is>
          <t>Nhóm Bảo Ngọc</t>
        </is>
      </c>
      <c r="G120" s="5" t="inlineStr">
        <is>
          <t>YouTube</t>
        </is>
      </c>
      <c r="H120" s="5" t="inlineStr">
        <is>
          <t>YouTube Shorts</t>
        </is>
      </c>
      <c r="I120" s="5" t="inlineStr">
        <is>
          <t>Tài chính Cá nhân &amp; Đầu tư</t>
        </is>
      </c>
      <c r="J120" s="5" t="inlineStr">
        <is>
          <t>Hỗ trợ sâu (40%)</t>
        </is>
      </c>
      <c r="K120" s="12" t="n">
        <v>268656</v>
      </c>
      <c r="L120" s="12" t="n">
        <v>11310</v>
      </c>
      <c r="M120" s="13">
        <f>L120/K120</f>
        <v/>
      </c>
      <c r="N120" s="12" t="n">
        <v>776</v>
      </c>
      <c r="O120" s="13" t="n">
        <v>0.6689000000000001</v>
      </c>
      <c r="P120" s="12" t="n">
        <v>3000000</v>
      </c>
      <c r="Q120" s="12" t="n">
        <v>15600000</v>
      </c>
      <c r="R120" s="12">
        <f>Q120-P120</f>
        <v/>
      </c>
      <c r="S120" s="13">
        <f>(Q120-P120)/P120</f>
        <v/>
      </c>
      <c r="T120" s="10">
        <f>IF(AND(K120&gt;=50000, S120&gt;=0.35), "Vượt KPI", IF(AND(K120&gt;=20000, S120&gt;=0), "Đạt KPI", "Chưa đạt KPI"))</f>
        <v/>
      </c>
    </row>
    <row r="121">
      <c r="A121" s="14" t="inlineStr">
        <is>
          <t>SP-0118</t>
        </is>
      </c>
      <c r="B121" s="15" t="n">
        <v>46034</v>
      </c>
      <c r="C121" s="14" t="inlineStr">
        <is>
          <t>Tháng 01/2026</t>
        </is>
      </c>
      <c r="D121" s="14" t="inlineStr">
        <is>
          <t>Quý 1</t>
        </is>
      </c>
      <c r="E121" s="16" t="inlineStr">
        <is>
          <t>Ban Kinh tế - Tài chính</t>
        </is>
      </c>
      <c r="F121" s="16" t="inlineStr">
        <is>
          <t>Nhóm Minh Tuấn</t>
        </is>
      </c>
      <c r="G121" s="16" t="inlineStr">
        <is>
          <t>YouTube</t>
        </is>
      </c>
      <c r="H121" s="16" t="inlineStr">
        <is>
          <t>YouTube Documentary (&gt;25p)</t>
        </is>
      </c>
      <c r="I121" s="16" t="inlineStr">
        <is>
          <t>Tài chính Cá nhân &amp; Đầu tư</t>
        </is>
      </c>
      <c r="J121" s="16" t="inlineStr">
        <is>
          <t>Thủ công (0%)</t>
        </is>
      </c>
      <c r="K121" s="17" t="n">
        <v>17606</v>
      </c>
      <c r="L121" s="17" t="n">
        <v>919</v>
      </c>
      <c r="M121" s="18">
        <f>L121/K121</f>
        <v/>
      </c>
      <c r="N121" s="17" t="n">
        <v>293</v>
      </c>
      <c r="O121" s="18" t="n">
        <v>0.4004</v>
      </c>
      <c r="P121" s="17" t="n">
        <v>9500000</v>
      </c>
      <c r="Q121" s="17" t="n">
        <v>22850000</v>
      </c>
      <c r="R121" s="17">
        <f>Q121-P121</f>
        <v/>
      </c>
      <c r="S121" s="18">
        <f>(Q121-P121)/P121</f>
        <v/>
      </c>
      <c r="T121" s="14">
        <f>IF(AND(K121&gt;=50000, S121&gt;=0.35), "Vượt KPI", IF(AND(K121&gt;=20000, S121&gt;=0), "Đạt KPI", "Chưa đạt KPI"))</f>
        <v/>
      </c>
    </row>
    <row r="122">
      <c r="A122" s="10" t="inlineStr">
        <is>
          <t>SP-0119</t>
        </is>
      </c>
      <c r="B122" s="11" t="n">
        <v>46164</v>
      </c>
      <c r="C122" s="10" t="inlineStr">
        <is>
          <t>Tháng 05/2026</t>
        </is>
      </c>
      <c r="D122" s="10" t="inlineStr">
        <is>
          <t>Quý 2</t>
        </is>
      </c>
      <c r="E122" s="5" t="inlineStr">
        <is>
          <t>Ban Công nghệ &amp; AI</t>
        </is>
      </c>
      <c r="F122" s="5" t="inlineStr">
        <is>
          <t>Nhóm Tuấn Kiệt</t>
        </is>
      </c>
      <c r="G122" s="5" t="inlineStr">
        <is>
          <t>YouTube</t>
        </is>
      </c>
      <c r="H122" s="5" t="inlineStr">
        <is>
          <t>YouTube Documentary (&gt;25p)</t>
        </is>
      </c>
      <c r="I122" s="5" t="inlineStr">
        <is>
          <t>Kinh tế - Thị trường</t>
        </is>
      </c>
      <c r="J122" s="5" t="inlineStr">
        <is>
          <t>Toàn trình (70%)</t>
        </is>
      </c>
      <c r="K122" s="12" t="n">
        <v>584996</v>
      </c>
      <c r="L122" s="12" t="n">
        <v>52240</v>
      </c>
      <c r="M122" s="13">
        <f>L122/K122</f>
        <v/>
      </c>
      <c r="N122" s="12" t="n">
        <v>339</v>
      </c>
      <c r="O122" s="13" t="n">
        <v>0.4725</v>
      </c>
      <c r="P122" s="12" t="n">
        <v>8300000</v>
      </c>
      <c r="Q122" s="12" t="n">
        <v>42550000</v>
      </c>
      <c r="R122" s="12">
        <f>Q122-P122</f>
        <v/>
      </c>
      <c r="S122" s="13">
        <f>(Q122-P122)/P122</f>
        <v/>
      </c>
      <c r="T122" s="10">
        <f>IF(AND(K122&gt;=50000, S122&gt;=0.35), "Vượt KPI", IF(AND(K122&gt;=20000, S122&gt;=0), "Đạt KPI", "Chưa đạt KPI"))</f>
        <v/>
      </c>
    </row>
    <row r="123">
      <c r="A123" s="14" t="inlineStr">
        <is>
          <t>SP-0120</t>
        </is>
      </c>
      <c r="B123" s="15" t="n">
        <v>46030</v>
      </c>
      <c r="C123" s="14" t="inlineStr">
        <is>
          <t>Tháng 01/2026</t>
        </is>
      </c>
      <c r="D123" s="14" t="inlineStr">
        <is>
          <t>Quý 1</t>
        </is>
      </c>
      <c r="E123" s="16" t="inlineStr">
        <is>
          <t>Ban Phóng sự - Điều tra</t>
        </is>
      </c>
      <c r="F123" s="16" t="inlineStr">
        <is>
          <t>Nhóm Trọng Nghĩa</t>
        </is>
      </c>
      <c r="G123" s="16" t="inlineStr">
        <is>
          <t>TikTok</t>
        </is>
      </c>
      <c r="H123" s="16" t="inlineStr">
        <is>
          <t>TikTok Reel (1-3p)</t>
        </is>
      </c>
      <c r="I123" s="16" t="inlineStr">
        <is>
          <t>Chính sách &amp; Pháp luật</t>
        </is>
      </c>
      <c r="J123" s="16" t="inlineStr">
        <is>
          <t>Hỗ trợ sâu (40%)</t>
        </is>
      </c>
      <c r="K123" s="17" t="n">
        <v>692663</v>
      </c>
      <c r="L123" s="17" t="n">
        <v>54512</v>
      </c>
      <c r="M123" s="18">
        <f>L123/K123</f>
        <v/>
      </c>
      <c r="N123" s="17" t="n">
        <v>94</v>
      </c>
      <c r="O123" s="18" t="n">
        <v>0.7422</v>
      </c>
      <c r="P123" s="17" t="n">
        <v>1650000</v>
      </c>
      <c r="Q123" s="17" t="n">
        <v>3500000</v>
      </c>
      <c r="R123" s="17">
        <f>Q123-P123</f>
        <v/>
      </c>
      <c r="S123" s="18">
        <f>(Q123-P123)/P123</f>
        <v/>
      </c>
      <c r="T123" s="14">
        <f>IF(AND(K123&gt;=50000, S123&gt;=0.35), "Vượt KPI", IF(AND(K123&gt;=20000, S123&gt;=0), "Đạt KPI", "Chưa đạt KPI"))</f>
        <v/>
      </c>
    </row>
    <row r="124">
      <c r="A124" s="10" t="inlineStr">
        <is>
          <t>SP-0121</t>
        </is>
      </c>
      <c r="B124" s="11" t="n">
        <v>46084</v>
      </c>
      <c r="C124" s="10" t="inlineStr">
        <is>
          <t>Tháng 03/2026</t>
        </is>
      </c>
      <c r="D124" s="10" t="inlineStr">
        <is>
          <t>Quý 1</t>
        </is>
      </c>
      <c r="E124" s="5" t="inlineStr">
        <is>
          <t>Ban Phóng sự - Điều tra</t>
        </is>
      </c>
      <c r="F124" s="5" t="inlineStr">
        <is>
          <t>Nhóm Hải Đăng</t>
        </is>
      </c>
      <c r="G124" s="5" t="inlineStr">
        <is>
          <t>YouTube</t>
        </is>
      </c>
      <c r="H124" s="5" t="inlineStr">
        <is>
          <t>YouTube Long-form (10-25p)</t>
        </is>
      </c>
      <c r="I124" s="5" t="inlineStr">
        <is>
          <t>Đời sống - Xã hội</t>
        </is>
      </c>
      <c r="J124" s="5" t="inlineStr">
        <is>
          <t>Hỗ trợ sâu (40%)</t>
        </is>
      </c>
      <c r="K124" s="12" t="n">
        <v>147956</v>
      </c>
      <c r="L124" s="12" t="n">
        <v>10401</v>
      </c>
      <c r="M124" s="13">
        <f>L124/K124</f>
        <v/>
      </c>
      <c r="N124" s="12" t="n">
        <v>698</v>
      </c>
      <c r="O124" s="13" t="n">
        <v>0.593</v>
      </c>
      <c r="P124" s="12" t="n">
        <v>4000000</v>
      </c>
      <c r="Q124" s="12" t="n">
        <v>8250000</v>
      </c>
      <c r="R124" s="12">
        <f>Q124-P124</f>
        <v/>
      </c>
      <c r="S124" s="13">
        <f>(Q124-P124)/P124</f>
        <v/>
      </c>
      <c r="T124" s="10">
        <f>IF(AND(K124&gt;=50000, S124&gt;=0.35), "Vượt KPI", IF(AND(K124&gt;=20000, S124&gt;=0), "Đạt KPI", "Chưa đạt KPI"))</f>
        <v/>
      </c>
    </row>
    <row r="125">
      <c r="A125" s="14" t="inlineStr">
        <is>
          <t>SP-0122</t>
        </is>
      </c>
      <c r="B125" s="15" t="n">
        <v>46127</v>
      </c>
      <c r="C125" s="14" t="inlineStr">
        <is>
          <t>Tháng 04/2026</t>
        </is>
      </c>
      <c r="D125" s="14" t="inlineStr">
        <is>
          <t>Quý 2</t>
        </is>
      </c>
      <c r="E125" s="16" t="inlineStr">
        <is>
          <t>Ban Phóng sự - Điều tra</t>
        </is>
      </c>
      <c r="F125" s="16" t="inlineStr">
        <is>
          <t>Nhóm Hải Đăng</t>
        </is>
      </c>
      <c r="G125" s="16" t="inlineStr">
        <is>
          <t>YouTube</t>
        </is>
      </c>
      <c r="H125" s="16" t="inlineStr">
        <is>
          <t>YouTube Shorts</t>
        </is>
      </c>
      <c r="I125" s="16" t="inlineStr">
        <is>
          <t>Chính sách &amp; Pháp luật</t>
        </is>
      </c>
      <c r="J125" s="16" t="inlineStr">
        <is>
          <t>Cơ bản (15%)</t>
        </is>
      </c>
      <c r="K125" s="17" t="n">
        <v>31076</v>
      </c>
      <c r="L125" s="17" t="n">
        <v>699</v>
      </c>
      <c r="M125" s="18">
        <f>L125/K125</f>
        <v/>
      </c>
      <c r="N125" s="17" t="n">
        <v>617</v>
      </c>
      <c r="O125" s="18" t="n">
        <v>0.5271</v>
      </c>
      <c r="P125" s="17" t="n">
        <v>13500000</v>
      </c>
      <c r="Q125" s="17" t="n">
        <v>7200000</v>
      </c>
      <c r="R125" s="17">
        <f>Q125-P125</f>
        <v/>
      </c>
      <c r="S125" s="18">
        <f>(Q125-P125)/P125</f>
        <v/>
      </c>
      <c r="T125" s="14">
        <f>IF(AND(K125&gt;=50000, S125&gt;=0.35), "Vượt KPI", IF(AND(K125&gt;=20000, S125&gt;=0), "Đạt KPI", "Chưa đạt KPI"))</f>
        <v/>
      </c>
    </row>
    <row r="126">
      <c r="A126" s="10" t="inlineStr">
        <is>
          <t>SP-0123</t>
        </is>
      </c>
      <c r="B126" s="11" t="n">
        <v>46117</v>
      </c>
      <c r="C126" s="10" t="inlineStr">
        <is>
          <t>Tháng 04/2026</t>
        </is>
      </c>
      <c r="D126" s="10" t="inlineStr">
        <is>
          <t>Quý 2</t>
        </is>
      </c>
      <c r="E126" s="5" t="inlineStr">
        <is>
          <t>Ban Thời sự - Chính trị</t>
        </is>
      </c>
      <c r="F126" s="5" t="inlineStr">
        <is>
          <t>Nhóm Quang Huy</t>
        </is>
      </c>
      <c r="G126" s="5" t="inlineStr">
        <is>
          <t>Facebook Page</t>
        </is>
      </c>
      <c r="H126" s="5" t="inlineStr">
        <is>
          <t>Facebook Reels</t>
        </is>
      </c>
      <c r="I126" s="5" t="inlineStr">
        <is>
          <t>Phóng sự Điều tra</t>
        </is>
      </c>
      <c r="J126" s="5" t="inlineStr">
        <is>
          <t>Cơ bản (15%)</t>
        </is>
      </c>
      <c r="K126" s="12" t="n">
        <v>481045</v>
      </c>
      <c r="L126" s="12" t="n">
        <v>44256</v>
      </c>
      <c r="M126" s="13">
        <f>L126/K126</f>
        <v/>
      </c>
      <c r="N126" s="12" t="n">
        <v>48</v>
      </c>
      <c r="O126" s="13" t="n">
        <v>0.5671</v>
      </c>
      <c r="P126" s="12" t="n">
        <v>2350000</v>
      </c>
      <c r="Q126" s="12" t="n">
        <v>4700000</v>
      </c>
      <c r="R126" s="12">
        <f>Q126-P126</f>
        <v/>
      </c>
      <c r="S126" s="13">
        <f>(Q126-P126)/P126</f>
        <v/>
      </c>
      <c r="T126" s="10">
        <f>IF(AND(K126&gt;=50000, S126&gt;=0.35), "Vượt KPI", IF(AND(K126&gt;=20000, S126&gt;=0), "Đạt KPI", "Chưa đạt KPI"))</f>
        <v/>
      </c>
    </row>
    <row r="127">
      <c r="A127" s="14" t="inlineStr">
        <is>
          <t>SP-0124</t>
        </is>
      </c>
      <c r="B127" s="15" t="n">
        <v>46045</v>
      </c>
      <c r="C127" s="14" t="inlineStr">
        <is>
          <t>Tháng 01/2026</t>
        </is>
      </c>
      <c r="D127" s="14" t="inlineStr">
        <is>
          <t>Quý 1</t>
        </is>
      </c>
      <c r="E127" s="16" t="inlineStr">
        <is>
          <t>Ban Phóng sự - Điều tra</t>
        </is>
      </c>
      <c r="F127" s="16" t="inlineStr">
        <is>
          <t>Nhóm Hải Đăng</t>
        </is>
      </c>
      <c r="G127" s="16" t="inlineStr">
        <is>
          <t>Podcast / Audio</t>
        </is>
      </c>
      <c r="H127" s="16" t="inlineStr">
        <is>
          <t>Podcast Chuyên sâu (20p)</t>
        </is>
      </c>
      <c r="I127" s="16" t="inlineStr">
        <is>
          <t>Đời sống - Xã hội</t>
        </is>
      </c>
      <c r="J127" s="16" t="inlineStr">
        <is>
          <t>Thủ công (0%)</t>
        </is>
      </c>
      <c r="K127" s="17" t="n">
        <v>22213</v>
      </c>
      <c r="L127" s="17" t="n">
        <v>1863</v>
      </c>
      <c r="M127" s="18">
        <f>L127/K127</f>
        <v/>
      </c>
      <c r="N127" s="17" t="n">
        <v>740</v>
      </c>
      <c r="O127" s="18" t="n">
        <v>0.4035</v>
      </c>
      <c r="P127" s="17" t="n">
        <v>3500000</v>
      </c>
      <c r="Q127" s="17" t="n">
        <v>4300000</v>
      </c>
      <c r="R127" s="17">
        <f>Q127-P127</f>
        <v/>
      </c>
      <c r="S127" s="18">
        <f>(Q127-P127)/P127</f>
        <v/>
      </c>
      <c r="T127" s="14">
        <f>IF(AND(K127&gt;=50000, S127&gt;=0.35), "Vượt KPI", IF(AND(K127&gt;=20000, S127&gt;=0), "Đạt KPI", "Chưa đạt KPI"))</f>
        <v/>
      </c>
    </row>
    <row r="128">
      <c r="A128" s="10" t="inlineStr">
        <is>
          <t>SP-0125</t>
        </is>
      </c>
      <c r="B128" s="11" t="n">
        <v>46116</v>
      </c>
      <c r="C128" s="10" t="inlineStr">
        <is>
          <t>Tháng 04/2026</t>
        </is>
      </c>
      <c r="D128" s="10" t="inlineStr">
        <is>
          <t>Quý 2</t>
        </is>
      </c>
      <c r="E128" s="5" t="inlineStr">
        <is>
          <t>Ban Phóng sự - Điều tra</t>
        </is>
      </c>
      <c r="F128" s="5" t="inlineStr">
        <is>
          <t>Nhóm Hải Đăng</t>
        </is>
      </c>
      <c r="G128" s="5" t="inlineStr">
        <is>
          <t>YouTube</t>
        </is>
      </c>
      <c r="H128" s="5" t="inlineStr">
        <is>
          <t>YouTube Documentary (&gt;25p)</t>
        </is>
      </c>
      <c r="I128" s="5" t="inlineStr">
        <is>
          <t>Đời sống - Xã hội</t>
        </is>
      </c>
      <c r="J128" s="5" t="inlineStr">
        <is>
          <t>Cơ bản (15%)</t>
        </is>
      </c>
      <c r="K128" s="12" t="n">
        <v>66660</v>
      </c>
      <c r="L128" s="12" t="n">
        <v>1913</v>
      </c>
      <c r="M128" s="13">
        <f>L128/K128</f>
        <v/>
      </c>
      <c r="N128" s="12" t="n">
        <v>318</v>
      </c>
      <c r="O128" s="13" t="n">
        <v>0.7018</v>
      </c>
      <c r="P128" s="12" t="n">
        <v>20350000</v>
      </c>
      <c r="Q128" s="12" t="n">
        <v>83500000</v>
      </c>
      <c r="R128" s="12">
        <f>Q128-P128</f>
        <v/>
      </c>
      <c r="S128" s="13">
        <f>(Q128-P128)/P128</f>
        <v/>
      </c>
      <c r="T128" s="10">
        <f>IF(AND(K128&gt;=50000, S128&gt;=0.35), "Vượt KPI", IF(AND(K128&gt;=20000, S128&gt;=0), "Đạt KPI", "Chưa đạt KPI"))</f>
        <v/>
      </c>
    </row>
    <row r="129">
      <c r="A129" s="14" t="inlineStr">
        <is>
          <t>SP-0126</t>
        </is>
      </c>
      <c r="B129" s="15" t="n">
        <v>46107</v>
      </c>
      <c r="C129" s="14" t="inlineStr">
        <is>
          <t>Tháng 03/2026</t>
        </is>
      </c>
      <c r="D129" s="14" t="inlineStr">
        <is>
          <t>Quý 1</t>
        </is>
      </c>
      <c r="E129" s="16" t="inlineStr">
        <is>
          <t>Ban Công nghệ &amp; AI</t>
        </is>
      </c>
      <c r="F129" s="16" t="inlineStr">
        <is>
          <t>Nhóm Gia Hưng</t>
        </is>
      </c>
      <c r="G129" s="16" t="inlineStr">
        <is>
          <t>YouTube</t>
        </is>
      </c>
      <c r="H129" s="16" t="inlineStr">
        <is>
          <t>YouTube Long-form (10-25p)</t>
        </is>
      </c>
      <c r="I129" s="16" t="inlineStr">
        <is>
          <t>Giáo dục &amp; Tuyển sinh</t>
        </is>
      </c>
      <c r="J129" s="16" t="inlineStr">
        <is>
          <t>Hỗ trợ sâu (40%)</t>
        </is>
      </c>
      <c r="K129" s="17" t="n">
        <v>145924</v>
      </c>
      <c r="L129" s="17" t="n">
        <v>8872</v>
      </c>
      <c r="M129" s="18">
        <f>L129/K129</f>
        <v/>
      </c>
      <c r="N129" s="17" t="n">
        <v>479</v>
      </c>
      <c r="O129" s="18" t="n">
        <v>0.3609</v>
      </c>
      <c r="P129" s="17" t="n">
        <v>4500000</v>
      </c>
      <c r="Q129" s="17" t="n">
        <v>9100000</v>
      </c>
      <c r="R129" s="17">
        <f>Q129-P129</f>
        <v/>
      </c>
      <c r="S129" s="18">
        <f>(Q129-P129)/P129</f>
        <v/>
      </c>
      <c r="T129" s="14">
        <f>IF(AND(K129&gt;=50000, S129&gt;=0.35), "Vượt KPI", IF(AND(K129&gt;=20000, S129&gt;=0), "Đạt KPI", "Chưa đạt KPI"))</f>
        <v/>
      </c>
    </row>
    <row r="130">
      <c r="A130" s="10" t="inlineStr">
        <is>
          <t>SP-0127</t>
        </is>
      </c>
      <c r="B130" s="11" t="n">
        <v>46094</v>
      </c>
      <c r="C130" s="10" t="inlineStr">
        <is>
          <t>Tháng 03/2026</t>
        </is>
      </c>
      <c r="D130" s="10" t="inlineStr">
        <is>
          <t>Quý 1</t>
        </is>
      </c>
      <c r="E130" s="5" t="inlineStr">
        <is>
          <t>Ban Công nghệ &amp; AI</t>
        </is>
      </c>
      <c r="F130" s="5" t="inlineStr">
        <is>
          <t>Nhóm Ngọc Ánh</t>
        </is>
      </c>
      <c r="G130" s="5" t="inlineStr">
        <is>
          <t>Podcast / Audio</t>
        </is>
      </c>
      <c r="H130" s="5" t="inlineStr">
        <is>
          <t>Podcast Chuyên sâu (20p)</t>
        </is>
      </c>
      <c r="I130" s="5" t="inlineStr">
        <is>
          <t>Công nghệ &amp; AI</t>
        </is>
      </c>
      <c r="J130" s="5" t="inlineStr">
        <is>
          <t>Hỗ trợ sâu (40%)</t>
        </is>
      </c>
      <c r="K130" s="12" t="n">
        <v>30718</v>
      </c>
      <c r="L130" s="12" t="n">
        <v>1855</v>
      </c>
      <c r="M130" s="13">
        <f>L130/K130</f>
        <v/>
      </c>
      <c r="N130" s="12" t="n">
        <v>889</v>
      </c>
      <c r="O130" s="13" t="n">
        <v>0.3969</v>
      </c>
      <c r="P130" s="12" t="n">
        <v>2250000</v>
      </c>
      <c r="Q130" s="12" t="n">
        <v>7750000</v>
      </c>
      <c r="R130" s="12">
        <f>Q130-P130</f>
        <v/>
      </c>
      <c r="S130" s="13">
        <f>(Q130-P130)/P130</f>
        <v/>
      </c>
      <c r="T130" s="10">
        <f>IF(AND(K130&gt;=50000, S130&gt;=0.35), "Vượt KPI", IF(AND(K130&gt;=20000, S130&gt;=0), "Đạt KPI", "Chưa đạt KPI"))</f>
        <v/>
      </c>
    </row>
    <row r="131">
      <c r="A131" s="14" t="inlineStr">
        <is>
          <t>SP-0128</t>
        </is>
      </c>
      <c r="B131" s="15" t="n">
        <v>46164</v>
      </c>
      <c r="C131" s="14" t="inlineStr">
        <is>
          <t>Tháng 05/2026</t>
        </is>
      </c>
      <c r="D131" s="14" t="inlineStr">
        <is>
          <t>Quý 2</t>
        </is>
      </c>
      <c r="E131" s="16" t="inlineStr">
        <is>
          <t>Ban Thời sự - Chính trị</t>
        </is>
      </c>
      <c r="F131" s="16" t="inlineStr">
        <is>
          <t>Nhóm Việt Anh</t>
        </is>
      </c>
      <c r="G131" s="16" t="inlineStr">
        <is>
          <t>Báo Điện tử (Web)</t>
        </is>
      </c>
      <c r="H131" s="16" t="inlineStr">
        <is>
          <t>Tin bài Đa phương tiện</t>
        </is>
      </c>
      <c r="I131" s="16" t="inlineStr">
        <is>
          <t>Chính sách &amp; Pháp luật</t>
        </is>
      </c>
      <c r="J131" s="16" t="inlineStr">
        <is>
          <t>Toàn trình (70%)</t>
        </is>
      </c>
      <c r="K131" s="17" t="n">
        <v>74411</v>
      </c>
      <c r="L131" s="17" t="n">
        <v>4300</v>
      </c>
      <c r="M131" s="18">
        <f>L131/K131</f>
        <v/>
      </c>
      <c r="N131" s="17" t="n">
        <v>108</v>
      </c>
      <c r="O131" s="18" t="n">
        <v>0.531</v>
      </c>
      <c r="P131" s="17" t="n">
        <v>1900000</v>
      </c>
      <c r="Q131" s="17" t="n">
        <v>4250000</v>
      </c>
      <c r="R131" s="17">
        <f>Q131-P131</f>
        <v/>
      </c>
      <c r="S131" s="18">
        <f>(Q131-P131)/P131</f>
        <v/>
      </c>
      <c r="T131" s="14">
        <f>IF(AND(K131&gt;=50000, S131&gt;=0.35), "Vượt KPI", IF(AND(K131&gt;=20000, S131&gt;=0), "Đạt KPI", "Chưa đạt KPI"))</f>
        <v/>
      </c>
    </row>
    <row r="132">
      <c r="A132" s="10" t="inlineStr">
        <is>
          <t>SP-0129</t>
        </is>
      </c>
      <c r="B132" s="11" t="n">
        <v>46045</v>
      </c>
      <c r="C132" s="10" t="inlineStr">
        <is>
          <t>Tháng 01/2026</t>
        </is>
      </c>
      <c r="D132" s="10" t="inlineStr">
        <is>
          <t>Quý 1</t>
        </is>
      </c>
      <c r="E132" s="5" t="inlineStr">
        <is>
          <t>Ban Phóng sự - Điều tra</t>
        </is>
      </c>
      <c r="F132" s="5" t="inlineStr">
        <is>
          <t>Nhóm Trọng Nghĩa</t>
        </is>
      </c>
      <c r="G132" s="5" t="inlineStr">
        <is>
          <t>YouTube</t>
        </is>
      </c>
      <c r="H132" s="5" t="inlineStr">
        <is>
          <t>YouTube Long-form (10-25p)</t>
        </is>
      </c>
      <c r="I132" s="5" t="inlineStr">
        <is>
          <t>Đời sống - Xã hội</t>
        </is>
      </c>
      <c r="J132" s="5" t="inlineStr">
        <is>
          <t>Thủ công (0%)</t>
        </is>
      </c>
      <c r="K132" s="12" t="n">
        <v>31368</v>
      </c>
      <c r="L132" s="12" t="n">
        <v>1668</v>
      </c>
      <c r="M132" s="13">
        <f>L132/K132</f>
        <v/>
      </c>
      <c r="N132" s="12" t="n">
        <v>573</v>
      </c>
      <c r="O132" s="13" t="n">
        <v>0.4191</v>
      </c>
      <c r="P132" s="12" t="n">
        <v>20650000</v>
      </c>
      <c r="Q132" s="12" t="n">
        <v>26800000</v>
      </c>
      <c r="R132" s="12">
        <f>Q132-P132</f>
        <v/>
      </c>
      <c r="S132" s="13">
        <f>(Q132-P132)/P132</f>
        <v/>
      </c>
      <c r="T132" s="10">
        <f>IF(AND(K132&gt;=50000, S132&gt;=0.35), "Vượt KPI", IF(AND(K132&gt;=20000, S132&gt;=0), "Đạt KPI", "Chưa đạt KPI"))</f>
        <v/>
      </c>
    </row>
    <row r="133">
      <c r="A133" s="14" t="inlineStr">
        <is>
          <t>SP-0130</t>
        </is>
      </c>
      <c r="B133" s="15" t="n">
        <v>46137</v>
      </c>
      <c r="C133" s="14" t="inlineStr">
        <is>
          <t>Tháng 04/2026</t>
        </is>
      </c>
      <c r="D133" s="14" t="inlineStr">
        <is>
          <t>Quý 2</t>
        </is>
      </c>
      <c r="E133" s="16" t="inlineStr">
        <is>
          <t>Ban Kinh tế - Tài chính</t>
        </is>
      </c>
      <c r="F133" s="16" t="inlineStr">
        <is>
          <t>Nhóm Lan Hương</t>
        </is>
      </c>
      <c r="G133" s="16" t="inlineStr">
        <is>
          <t>TikTok</t>
        </is>
      </c>
      <c r="H133" s="16" t="inlineStr">
        <is>
          <t>TikTok Reel (1-3p)</t>
        </is>
      </c>
      <c r="I133" s="16" t="inlineStr">
        <is>
          <t>Tài chính Cá nhân &amp; Đầu tư</t>
        </is>
      </c>
      <c r="J133" s="16" t="inlineStr">
        <is>
          <t>Cơ bản (15%)</t>
        </is>
      </c>
      <c r="K133" s="17" t="n">
        <v>218099</v>
      </c>
      <c r="L133" s="17" t="n">
        <v>23118</v>
      </c>
      <c r="M133" s="18">
        <f>L133/K133</f>
        <v/>
      </c>
      <c r="N133" s="17" t="n">
        <v>21</v>
      </c>
      <c r="O133" s="18" t="n">
        <v>0.5033</v>
      </c>
      <c r="P133" s="17" t="n">
        <v>1400000</v>
      </c>
      <c r="Q133" s="17" t="n">
        <v>800000</v>
      </c>
      <c r="R133" s="17">
        <f>Q133-P133</f>
        <v/>
      </c>
      <c r="S133" s="18">
        <f>(Q133-P133)/P133</f>
        <v/>
      </c>
      <c r="T133" s="14">
        <f>IF(AND(K133&gt;=50000, S133&gt;=0.35), "Vượt KPI", IF(AND(K133&gt;=20000, S133&gt;=0), "Đạt KPI", "Chưa đạt KPI"))</f>
        <v/>
      </c>
    </row>
    <row r="134">
      <c r="A134" s="10" t="inlineStr">
        <is>
          <t>SP-0131</t>
        </is>
      </c>
      <c r="B134" s="11" t="n">
        <v>46023</v>
      </c>
      <c r="C134" s="10" t="inlineStr">
        <is>
          <t>Tháng 01/2026</t>
        </is>
      </c>
      <c r="D134" s="10" t="inlineStr">
        <is>
          <t>Quý 1</t>
        </is>
      </c>
      <c r="E134" s="5" t="inlineStr">
        <is>
          <t>Ban Video &amp; Truyền hình số</t>
        </is>
      </c>
      <c r="F134" s="5" t="inlineStr">
        <is>
          <t>Nhóm Hoàng Hải</t>
        </is>
      </c>
      <c r="G134" s="5" t="inlineStr">
        <is>
          <t>Facebook Page</t>
        </is>
      </c>
      <c r="H134" s="5" t="inlineStr">
        <is>
          <t>Facebook Reels</t>
        </is>
      </c>
      <c r="I134" s="5" t="inlineStr">
        <is>
          <t>Giáo dục &amp; Tuyển sinh</t>
        </is>
      </c>
      <c r="J134" s="5" t="inlineStr">
        <is>
          <t>Cơ bản (15%)</t>
        </is>
      </c>
      <c r="K134" s="12" t="n">
        <v>176390</v>
      </c>
      <c r="L134" s="12" t="n">
        <v>7196</v>
      </c>
      <c r="M134" s="13">
        <f>L134/K134</f>
        <v/>
      </c>
      <c r="N134" s="12" t="n">
        <v>137</v>
      </c>
      <c r="O134" s="13" t="n">
        <v>0.5417</v>
      </c>
      <c r="P134" s="12" t="n">
        <v>3600000</v>
      </c>
      <c r="Q134" s="12" t="n">
        <v>9600000</v>
      </c>
      <c r="R134" s="12">
        <f>Q134-P134</f>
        <v/>
      </c>
      <c r="S134" s="13">
        <f>(Q134-P134)/P134</f>
        <v/>
      </c>
      <c r="T134" s="10">
        <f>IF(AND(K134&gt;=50000, S134&gt;=0.35), "Vượt KPI", IF(AND(K134&gt;=20000, S134&gt;=0), "Đạt KPI", "Chưa đạt KPI"))</f>
        <v/>
      </c>
    </row>
    <row r="135">
      <c r="A135" s="14" t="inlineStr">
        <is>
          <t>SP-0132</t>
        </is>
      </c>
      <c r="B135" s="15" t="n">
        <v>46193</v>
      </c>
      <c r="C135" s="14" t="inlineStr">
        <is>
          <t>Tháng 06/2026</t>
        </is>
      </c>
      <c r="D135" s="14" t="inlineStr">
        <is>
          <t>Quý 2</t>
        </is>
      </c>
      <c r="E135" s="16" t="inlineStr">
        <is>
          <t>Ban Kinh tế - Tài chính</t>
        </is>
      </c>
      <c r="F135" s="16" t="inlineStr">
        <is>
          <t>Nhóm Đức Thịnh</t>
        </is>
      </c>
      <c r="G135" s="16" t="inlineStr">
        <is>
          <t>Facebook Page</t>
        </is>
      </c>
      <c r="H135" s="16" t="inlineStr">
        <is>
          <t>Photo Story / Carousel</t>
        </is>
      </c>
      <c r="I135" s="16" t="inlineStr">
        <is>
          <t>Tài chính Cá nhân &amp; Đầu tư</t>
        </is>
      </c>
      <c r="J135" s="16" t="inlineStr">
        <is>
          <t>Toàn trình (70%)</t>
        </is>
      </c>
      <c r="K135" s="17" t="n">
        <v>977304</v>
      </c>
      <c r="L135" s="17" t="n">
        <v>26484</v>
      </c>
      <c r="M135" s="18">
        <f>L135/K135</f>
        <v/>
      </c>
      <c r="N135" s="17" t="n">
        <v>43</v>
      </c>
      <c r="O135" s="18" t="n">
        <v>0.6756</v>
      </c>
      <c r="P135" s="17" t="n">
        <v>2850000</v>
      </c>
      <c r="Q135" s="17" t="n">
        <v>11250000</v>
      </c>
      <c r="R135" s="17">
        <f>Q135-P135</f>
        <v/>
      </c>
      <c r="S135" s="18">
        <f>(Q135-P135)/P135</f>
        <v/>
      </c>
      <c r="T135" s="14">
        <f>IF(AND(K135&gt;=50000, S135&gt;=0.35), "Vượt KPI", IF(AND(K135&gt;=20000, S135&gt;=0), "Đạt KPI", "Chưa đạt KPI"))</f>
        <v/>
      </c>
    </row>
    <row r="136">
      <c r="A136" s="10" t="inlineStr">
        <is>
          <t>SP-0133</t>
        </is>
      </c>
      <c r="B136" s="11" t="n">
        <v>46066</v>
      </c>
      <c r="C136" s="10" t="inlineStr">
        <is>
          <t>Tháng 02/2026</t>
        </is>
      </c>
      <c r="D136" s="10" t="inlineStr">
        <is>
          <t>Quý 1</t>
        </is>
      </c>
      <c r="E136" s="5" t="inlineStr">
        <is>
          <t>Ban Video &amp; Truyền hình số</t>
        </is>
      </c>
      <c r="F136" s="5" t="inlineStr">
        <is>
          <t>Nhóm Thu Trang</t>
        </is>
      </c>
      <c r="G136" s="5" t="inlineStr">
        <is>
          <t>TikTok</t>
        </is>
      </c>
      <c r="H136" s="5" t="inlineStr">
        <is>
          <t>TikTok Reel (1-3p)</t>
        </is>
      </c>
      <c r="I136" s="5" t="inlineStr">
        <is>
          <t>Công nghệ &amp; AI</t>
        </is>
      </c>
      <c r="J136" s="5" t="inlineStr">
        <is>
          <t>Hỗ trợ sâu (40%)</t>
        </is>
      </c>
      <c r="K136" s="12" t="n">
        <v>505835</v>
      </c>
      <c r="L136" s="12" t="n">
        <v>48458</v>
      </c>
      <c r="M136" s="13">
        <f>L136/K136</f>
        <v/>
      </c>
      <c r="N136" s="12" t="n">
        <v>76</v>
      </c>
      <c r="O136" s="13" t="n">
        <v>0.3671</v>
      </c>
      <c r="P136" s="12" t="n">
        <v>1000000</v>
      </c>
      <c r="Q136" s="12" t="n">
        <v>1900000</v>
      </c>
      <c r="R136" s="12">
        <f>Q136-P136</f>
        <v/>
      </c>
      <c r="S136" s="13">
        <f>(Q136-P136)/P136</f>
        <v/>
      </c>
      <c r="T136" s="10">
        <f>IF(AND(K136&gt;=50000, S136&gt;=0.35), "Vượt KPI", IF(AND(K136&gt;=20000, S136&gt;=0), "Đạt KPI", "Chưa đạt KPI"))</f>
        <v/>
      </c>
    </row>
    <row r="137">
      <c r="A137" s="14" t="inlineStr">
        <is>
          <t>SP-0134</t>
        </is>
      </c>
      <c r="B137" s="15" t="n">
        <v>46043</v>
      </c>
      <c r="C137" s="14" t="inlineStr">
        <is>
          <t>Tháng 01/2026</t>
        </is>
      </c>
      <c r="D137" s="14" t="inlineStr">
        <is>
          <t>Quý 1</t>
        </is>
      </c>
      <c r="E137" s="16" t="inlineStr">
        <is>
          <t>Ban Công nghệ &amp; AI</t>
        </is>
      </c>
      <c r="F137" s="16" t="inlineStr">
        <is>
          <t>Nhóm Tuấn Kiệt</t>
        </is>
      </c>
      <c r="G137" s="16" t="inlineStr">
        <is>
          <t>Podcast / Audio</t>
        </is>
      </c>
      <c r="H137" s="16" t="inlineStr">
        <is>
          <t>Podcast Chuyên sâu (20p)</t>
        </is>
      </c>
      <c r="I137" s="16" t="inlineStr">
        <is>
          <t>Giáo dục &amp; Tuyển sinh</t>
        </is>
      </c>
      <c r="J137" s="16" t="inlineStr">
        <is>
          <t>Cơ bản (15%)</t>
        </is>
      </c>
      <c r="K137" s="17" t="n">
        <v>57565</v>
      </c>
      <c r="L137" s="17" t="n">
        <v>5048</v>
      </c>
      <c r="M137" s="18">
        <f>L137/K137</f>
        <v/>
      </c>
      <c r="N137" s="17" t="n">
        <v>167</v>
      </c>
      <c r="O137" s="18" t="n">
        <v>0.5543</v>
      </c>
      <c r="P137" s="17" t="n">
        <v>1350000</v>
      </c>
      <c r="Q137" s="17" t="n">
        <v>3150000</v>
      </c>
      <c r="R137" s="17">
        <f>Q137-P137</f>
        <v/>
      </c>
      <c r="S137" s="18">
        <f>(Q137-P137)/P137</f>
        <v/>
      </c>
      <c r="T137" s="14">
        <f>IF(AND(K137&gt;=50000, S137&gt;=0.35), "Vượt KPI", IF(AND(K137&gt;=20000, S137&gt;=0), "Đạt KPI", "Chưa đạt KPI"))</f>
        <v/>
      </c>
    </row>
    <row r="138">
      <c r="A138" s="10" t="inlineStr">
        <is>
          <t>SP-0135</t>
        </is>
      </c>
      <c r="B138" s="11" t="n">
        <v>46069</v>
      </c>
      <c r="C138" s="10" t="inlineStr">
        <is>
          <t>Tháng 02/2026</t>
        </is>
      </c>
      <c r="D138" s="10" t="inlineStr">
        <is>
          <t>Quý 1</t>
        </is>
      </c>
      <c r="E138" s="5" t="inlineStr">
        <is>
          <t>Ban Đời sống - Giới trẻ</t>
        </is>
      </c>
      <c r="F138" s="5" t="inlineStr">
        <is>
          <t>Nhóm Phương Thảo</t>
        </is>
      </c>
      <c r="G138" s="5" t="inlineStr">
        <is>
          <t>TikTok</t>
        </is>
      </c>
      <c r="H138" s="5" t="inlineStr">
        <is>
          <t>TikTok Reel (1-3p)</t>
        </is>
      </c>
      <c r="I138" s="5" t="inlineStr">
        <is>
          <t>Tài chính Cá nhân &amp; Đầu tư</t>
        </is>
      </c>
      <c r="J138" s="5" t="inlineStr">
        <is>
          <t>Hỗ trợ sâu (40%)</t>
        </is>
      </c>
      <c r="K138" s="12" t="n">
        <v>341406</v>
      </c>
      <c r="L138" s="12" t="n">
        <v>42539</v>
      </c>
      <c r="M138" s="13">
        <f>L138/K138</f>
        <v/>
      </c>
      <c r="N138" s="12" t="n">
        <v>50</v>
      </c>
      <c r="O138" s="13" t="n">
        <v>0.4866</v>
      </c>
      <c r="P138" s="12" t="n">
        <v>2600000</v>
      </c>
      <c r="Q138" s="12" t="n">
        <v>5800000</v>
      </c>
      <c r="R138" s="12">
        <f>Q138-P138</f>
        <v/>
      </c>
      <c r="S138" s="13">
        <f>(Q138-P138)/P138</f>
        <v/>
      </c>
      <c r="T138" s="10">
        <f>IF(AND(K138&gt;=50000, S138&gt;=0.35), "Vượt KPI", IF(AND(K138&gt;=20000, S138&gt;=0), "Đạt KPI", "Chưa đạt KPI"))</f>
        <v/>
      </c>
    </row>
    <row r="139">
      <c r="A139" s="14" t="inlineStr">
        <is>
          <t>SP-0136</t>
        </is>
      </c>
      <c r="B139" s="15" t="n">
        <v>46077</v>
      </c>
      <c r="C139" s="14" t="inlineStr">
        <is>
          <t>Tháng 02/2026</t>
        </is>
      </c>
      <c r="D139" s="14" t="inlineStr">
        <is>
          <t>Quý 1</t>
        </is>
      </c>
      <c r="E139" s="16" t="inlineStr">
        <is>
          <t>Ban Công nghệ &amp; AI</t>
        </is>
      </c>
      <c r="F139" s="16" t="inlineStr">
        <is>
          <t>Nhóm Tuấn Kiệt</t>
        </is>
      </c>
      <c r="G139" s="16" t="inlineStr">
        <is>
          <t>YouTube</t>
        </is>
      </c>
      <c r="H139" s="16" t="inlineStr">
        <is>
          <t>YouTube Documentary (&gt;25p)</t>
        </is>
      </c>
      <c r="I139" s="16" t="inlineStr">
        <is>
          <t>Giáo dục &amp; Tuyển sinh</t>
        </is>
      </c>
      <c r="J139" s="16" t="inlineStr">
        <is>
          <t>Hỗ trợ sâu (40%)</t>
        </is>
      </c>
      <c r="K139" s="17" t="n">
        <v>402582</v>
      </c>
      <c r="L139" s="17" t="n">
        <v>19726</v>
      </c>
      <c r="M139" s="18">
        <f>L139/K139</f>
        <v/>
      </c>
      <c r="N139" s="17" t="n">
        <v>428</v>
      </c>
      <c r="O139" s="18" t="n">
        <v>0.4984</v>
      </c>
      <c r="P139" s="17" t="n">
        <v>10150000</v>
      </c>
      <c r="Q139" s="17" t="n">
        <v>43400000</v>
      </c>
      <c r="R139" s="17">
        <f>Q139-P139</f>
        <v/>
      </c>
      <c r="S139" s="18">
        <f>(Q139-P139)/P139</f>
        <v/>
      </c>
      <c r="T139" s="14">
        <f>IF(AND(K139&gt;=50000, S139&gt;=0.35), "Vượt KPI", IF(AND(K139&gt;=20000, S139&gt;=0), "Đạt KPI", "Chưa đạt KPI"))</f>
        <v/>
      </c>
    </row>
    <row r="140">
      <c r="A140" s="10" t="inlineStr">
        <is>
          <t>SP-0137</t>
        </is>
      </c>
      <c r="B140" s="11" t="n">
        <v>46099</v>
      </c>
      <c r="C140" s="10" t="inlineStr">
        <is>
          <t>Tháng 03/2026</t>
        </is>
      </c>
      <c r="D140" s="10" t="inlineStr">
        <is>
          <t>Quý 1</t>
        </is>
      </c>
      <c r="E140" s="5" t="inlineStr">
        <is>
          <t>Ban Kinh tế - Tài chính</t>
        </is>
      </c>
      <c r="F140" s="5" t="inlineStr">
        <is>
          <t>Nhóm Lan Hương</t>
        </is>
      </c>
      <c r="G140" s="5" t="inlineStr">
        <is>
          <t>Podcast / Audio</t>
        </is>
      </c>
      <c r="H140" s="5" t="inlineStr">
        <is>
          <t>Điểm tin Audio AI (5p)</t>
        </is>
      </c>
      <c r="I140" s="5" t="inlineStr">
        <is>
          <t>Kinh tế - Thị trường</t>
        </is>
      </c>
      <c r="J140" s="5" t="inlineStr">
        <is>
          <t>Thủ công (0%)</t>
        </is>
      </c>
      <c r="K140" s="12" t="n">
        <v>110755</v>
      </c>
      <c r="L140" s="12" t="n">
        <v>5847</v>
      </c>
      <c r="M140" s="13">
        <f>L140/K140</f>
        <v/>
      </c>
      <c r="N140" s="12" t="n">
        <v>291</v>
      </c>
      <c r="O140" s="13" t="n">
        <v>0.3117</v>
      </c>
      <c r="P140" s="12" t="n">
        <v>1700000</v>
      </c>
      <c r="Q140" s="12" t="n">
        <v>2100000</v>
      </c>
      <c r="R140" s="12">
        <f>Q140-P140</f>
        <v/>
      </c>
      <c r="S140" s="13">
        <f>(Q140-P140)/P140</f>
        <v/>
      </c>
      <c r="T140" s="10">
        <f>IF(AND(K140&gt;=50000, S140&gt;=0.35), "Vượt KPI", IF(AND(K140&gt;=20000, S140&gt;=0), "Đạt KPI", "Chưa đạt KPI"))</f>
        <v/>
      </c>
    </row>
    <row r="141">
      <c r="A141" s="14" t="inlineStr">
        <is>
          <t>SP-0138</t>
        </is>
      </c>
      <c r="B141" s="15" t="n">
        <v>46143</v>
      </c>
      <c r="C141" s="14" t="inlineStr">
        <is>
          <t>Tháng 05/2026</t>
        </is>
      </c>
      <c r="D141" s="14" t="inlineStr">
        <is>
          <t>Quý 2</t>
        </is>
      </c>
      <c r="E141" s="16" t="inlineStr">
        <is>
          <t>Ban Phóng sự - Điều tra</t>
        </is>
      </c>
      <c r="F141" s="16" t="inlineStr">
        <is>
          <t>Nhóm Hải Đăng</t>
        </is>
      </c>
      <c r="G141" s="16" t="inlineStr">
        <is>
          <t>Báo Điện tử (Web)</t>
        </is>
      </c>
      <c r="H141" s="16" t="inlineStr">
        <is>
          <t>Longform / E-magazine</t>
        </is>
      </c>
      <c r="I141" s="16" t="inlineStr">
        <is>
          <t>Đời sống - Xã hội</t>
        </is>
      </c>
      <c r="J141" s="16" t="inlineStr">
        <is>
          <t>Cơ bản (15%)</t>
        </is>
      </c>
      <c r="K141" s="17" t="n">
        <v>238525</v>
      </c>
      <c r="L141" s="17" t="n">
        <v>14669</v>
      </c>
      <c r="M141" s="18">
        <f>L141/K141</f>
        <v/>
      </c>
      <c r="N141" s="17" t="n">
        <v>95</v>
      </c>
      <c r="O141" s="18" t="n">
        <v>0.4428</v>
      </c>
      <c r="P141" s="17" t="n">
        <v>2000000</v>
      </c>
      <c r="Q141" s="17" t="n">
        <v>2500000</v>
      </c>
      <c r="R141" s="17">
        <f>Q141-P141</f>
        <v/>
      </c>
      <c r="S141" s="18">
        <f>(Q141-P141)/P141</f>
        <v/>
      </c>
      <c r="T141" s="14">
        <f>IF(AND(K141&gt;=50000, S141&gt;=0.35), "Vượt KPI", IF(AND(K141&gt;=20000, S141&gt;=0), "Đạt KPI", "Chưa đạt KPI"))</f>
        <v/>
      </c>
    </row>
    <row r="142">
      <c r="A142" s="10" t="inlineStr">
        <is>
          <t>SP-0139</t>
        </is>
      </c>
      <c r="B142" s="11" t="n">
        <v>46182</v>
      </c>
      <c r="C142" s="10" t="inlineStr">
        <is>
          <t>Tháng 06/2026</t>
        </is>
      </c>
      <c r="D142" s="10" t="inlineStr">
        <is>
          <t>Quý 2</t>
        </is>
      </c>
      <c r="E142" s="5" t="inlineStr">
        <is>
          <t>Ban Thời sự - Chính trị</t>
        </is>
      </c>
      <c r="F142" s="5" t="inlineStr">
        <is>
          <t>Nhóm Việt Anh</t>
        </is>
      </c>
      <c r="G142" s="5" t="inlineStr">
        <is>
          <t>TikTok</t>
        </is>
      </c>
      <c r="H142" s="5" t="inlineStr">
        <is>
          <t>TikTok Reel (1-3p)</t>
        </is>
      </c>
      <c r="I142" s="5" t="inlineStr">
        <is>
          <t>Công nghệ &amp; AI</t>
        </is>
      </c>
      <c r="J142" s="5" t="inlineStr">
        <is>
          <t>Hỗ trợ sâu (40%)</t>
        </is>
      </c>
      <c r="K142" s="12" t="n">
        <v>379738</v>
      </c>
      <c r="L142" s="12" t="n">
        <v>40859</v>
      </c>
      <c r="M142" s="13">
        <f>L142/K142</f>
        <v/>
      </c>
      <c r="N142" s="12" t="n">
        <v>57</v>
      </c>
      <c r="O142" s="13" t="n">
        <v>0.5202</v>
      </c>
      <c r="P142" s="12" t="n">
        <v>1800000</v>
      </c>
      <c r="Q142" s="12" t="n">
        <v>4400000</v>
      </c>
      <c r="R142" s="12">
        <f>Q142-P142</f>
        <v/>
      </c>
      <c r="S142" s="13">
        <f>(Q142-P142)/P142</f>
        <v/>
      </c>
      <c r="T142" s="10">
        <f>IF(AND(K142&gt;=50000, S142&gt;=0.35), "Vượt KPI", IF(AND(K142&gt;=20000, S142&gt;=0), "Đạt KPI", "Chưa đạt KPI"))</f>
        <v/>
      </c>
    </row>
    <row r="143">
      <c r="A143" s="14" t="inlineStr">
        <is>
          <t>SP-0140</t>
        </is>
      </c>
      <c r="B143" s="15" t="n">
        <v>46165</v>
      </c>
      <c r="C143" s="14" t="inlineStr">
        <is>
          <t>Tháng 05/2026</t>
        </is>
      </c>
      <c r="D143" s="14" t="inlineStr">
        <is>
          <t>Quý 2</t>
        </is>
      </c>
      <c r="E143" s="16" t="inlineStr">
        <is>
          <t>Ban Kinh tế - Tài chính</t>
        </is>
      </c>
      <c r="F143" s="16" t="inlineStr">
        <is>
          <t>Nhóm Minh Tuấn</t>
        </is>
      </c>
      <c r="G143" s="16" t="inlineStr">
        <is>
          <t>YouTube</t>
        </is>
      </c>
      <c r="H143" s="16" t="inlineStr">
        <is>
          <t>YouTube Long-form (10-25p)</t>
        </is>
      </c>
      <c r="I143" s="16" t="inlineStr">
        <is>
          <t>Kinh tế - Thị trường</t>
        </is>
      </c>
      <c r="J143" s="16" t="inlineStr">
        <is>
          <t>Cơ bản (15%)</t>
        </is>
      </c>
      <c r="K143" s="17" t="n">
        <v>609915</v>
      </c>
      <c r="L143" s="17" t="n">
        <v>15430</v>
      </c>
      <c r="M143" s="18">
        <f>L143/K143</f>
        <v/>
      </c>
      <c r="N143" s="17" t="n">
        <v>715</v>
      </c>
      <c r="O143" s="18" t="n">
        <v>0.4904</v>
      </c>
      <c r="P143" s="17" t="n">
        <v>11350000</v>
      </c>
      <c r="Q143" s="17" t="n">
        <v>48050000</v>
      </c>
      <c r="R143" s="17">
        <f>Q143-P143</f>
        <v/>
      </c>
      <c r="S143" s="18">
        <f>(Q143-P143)/P143</f>
        <v/>
      </c>
      <c r="T143" s="14">
        <f>IF(AND(K143&gt;=50000, S143&gt;=0.35), "Vượt KPI", IF(AND(K143&gt;=20000, S143&gt;=0), "Đạt KPI", "Chưa đạt KPI"))</f>
        <v/>
      </c>
    </row>
    <row r="144">
      <c r="A144" s="10" t="inlineStr">
        <is>
          <t>SP-0141</t>
        </is>
      </c>
      <c r="B144" s="11" t="n">
        <v>46180</v>
      </c>
      <c r="C144" s="10" t="inlineStr">
        <is>
          <t>Tháng 06/2026</t>
        </is>
      </c>
      <c r="D144" s="10" t="inlineStr">
        <is>
          <t>Quý 2</t>
        </is>
      </c>
      <c r="E144" s="5" t="inlineStr">
        <is>
          <t>Ban Công nghệ &amp; AI</t>
        </is>
      </c>
      <c r="F144" s="5" t="inlineStr">
        <is>
          <t>Nhóm Gia Hưng</t>
        </is>
      </c>
      <c r="G144" s="5" t="inlineStr">
        <is>
          <t>Facebook Page</t>
        </is>
      </c>
      <c r="H144" s="5" t="inlineStr">
        <is>
          <t>Video Bản tin (3-5p)</t>
        </is>
      </c>
      <c r="I144" s="5" t="inlineStr">
        <is>
          <t>Kinh tế - Thị trường</t>
        </is>
      </c>
      <c r="J144" s="5" t="inlineStr">
        <is>
          <t>Cơ bản (15%)</t>
        </is>
      </c>
      <c r="K144" s="12" t="n">
        <v>534515</v>
      </c>
      <c r="L144" s="12" t="n">
        <v>16088</v>
      </c>
      <c r="M144" s="13">
        <f>L144/K144</f>
        <v/>
      </c>
      <c r="N144" s="12" t="n">
        <v>34</v>
      </c>
      <c r="O144" s="13" t="n">
        <v>0.4986</v>
      </c>
      <c r="P144" s="12" t="n">
        <v>3350000</v>
      </c>
      <c r="Q144" s="12" t="n">
        <v>8450000</v>
      </c>
      <c r="R144" s="12">
        <f>Q144-P144</f>
        <v/>
      </c>
      <c r="S144" s="13">
        <f>(Q144-P144)/P144</f>
        <v/>
      </c>
      <c r="T144" s="10">
        <f>IF(AND(K144&gt;=50000, S144&gt;=0.35), "Vượt KPI", IF(AND(K144&gt;=20000, S144&gt;=0), "Đạt KPI", "Chưa đạt KPI"))</f>
        <v/>
      </c>
    </row>
    <row r="145">
      <c r="A145" s="14" t="inlineStr">
        <is>
          <t>SP-0142</t>
        </is>
      </c>
      <c r="B145" s="15" t="n">
        <v>46178</v>
      </c>
      <c r="C145" s="14" t="inlineStr">
        <is>
          <t>Tháng 06/2026</t>
        </is>
      </c>
      <c r="D145" s="14" t="inlineStr">
        <is>
          <t>Quý 2</t>
        </is>
      </c>
      <c r="E145" s="16" t="inlineStr">
        <is>
          <t>Ban Đời sống - Giới trẻ</t>
        </is>
      </c>
      <c r="F145" s="16" t="inlineStr">
        <is>
          <t>Nhóm Bảo Ngọc</t>
        </is>
      </c>
      <c r="G145" s="16" t="inlineStr">
        <is>
          <t>Báo Điện tử (Web)</t>
        </is>
      </c>
      <c r="H145" s="16" t="inlineStr">
        <is>
          <t>Infographic / Mega Story</t>
        </is>
      </c>
      <c r="I145" s="16" t="inlineStr">
        <is>
          <t>Chính sách &amp; Pháp luật</t>
        </is>
      </c>
      <c r="J145" s="16" t="inlineStr">
        <is>
          <t>Toàn trình (70%)</t>
        </is>
      </c>
      <c r="K145" s="17" t="n">
        <v>272970</v>
      </c>
      <c r="L145" s="17" t="n">
        <v>25795</v>
      </c>
      <c r="M145" s="18">
        <f>L145/K145</f>
        <v/>
      </c>
      <c r="N145" s="17" t="n">
        <v>293</v>
      </c>
      <c r="O145" s="18" t="n">
        <v>0.3641</v>
      </c>
      <c r="P145" s="17" t="n">
        <v>2550000</v>
      </c>
      <c r="Q145" s="17" t="n">
        <v>4150000</v>
      </c>
      <c r="R145" s="17">
        <f>Q145-P145</f>
        <v/>
      </c>
      <c r="S145" s="18">
        <f>(Q145-P145)/P145</f>
        <v/>
      </c>
      <c r="T145" s="14">
        <f>IF(AND(K145&gt;=50000, S145&gt;=0.35), "Vượt KPI", IF(AND(K145&gt;=20000, S145&gt;=0), "Đạt KPI", "Chưa đạt KPI"))</f>
        <v/>
      </c>
    </row>
    <row r="146">
      <c r="A146" s="10" t="inlineStr">
        <is>
          <t>SP-0143</t>
        </is>
      </c>
      <c r="B146" s="11" t="n">
        <v>46153</v>
      </c>
      <c r="C146" s="10" t="inlineStr">
        <is>
          <t>Tháng 05/2026</t>
        </is>
      </c>
      <c r="D146" s="10" t="inlineStr">
        <is>
          <t>Quý 2</t>
        </is>
      </c>
      <c r="E146" s="5" t="inlineStr">
        <is>
          <t>Ban Công nghệ &amp; AI</t>
        </is>
      </c>
      <c r="F146" s="5" t="inlineStr">
        <is>
          <t>Nhóm Tuấn Kiệt</t>
        </is>
      </c>
      <c r="G146" s="5" t="inlineStr">
        <is>
          <t>Facebook Page</t>
        </is>
      </c>
      <c r="H146" s="5" t="inlineStr">
        <is>
          <t>Photo Story / Carousel</t>
        </is>
      </c>
      <c r="I146" s="5" t="inlineStr">
        <is>
          <t>Kinh tế - Thị trường</t>
        </is>
      </c>
      <c r="J146" s="5" t="inlineStr">
        <is>
          <t>Thủ công (0%)</t>
        </is>
      </c>
      <c r="K146" s="12" t="n">
        <v>300496</v>
      </c>
      <c r="L146" s="12" t="n">
        <v>20103</v>
      </c>
      <c r="M146" s="13">
        <f>L146/K146</f>
        <v/>
      </c>
      <c r="N146" s="12" t="n">
        <v>136</v>
      </c>
      <c r="O146" s="13" t="n">
        <v>0.5018</v>
      </c>
      <c r="P146" s="12" t="n">
        <v>4450000</v>
      </c>
      <c r="Q146" s="12" t="n">
        <v>8650000</v>
      </c>
      <c r="R146" s="12">
        <f>Q146-P146</f>
        <v/>
      </c>
      <c r="S146" s="13">
        <f>(Q146-P146)/P146</f>
        <v/>
      </c>
      <c r="T146" s="10">
        <f>IF(AND(K146&gt;=50000, S146&gt;=0.35), "Vượt KPI", IF(AND(K146&gt;=20000, S146&gt;=0), "Đạt KPI", "Chưa đạt KPI"))</f>
        <v/>
      </c>
    </row>
    <row r="147">
      <c r="A147" s="14" t="inlineStr">
        <is>
          <t>SP-0144</t>
        </is>
      </c>
      <c r="B147" s="15" t="n">
        <v>46131</v>
      </c>
      <c r="C147" s="14" t="inlineStr">
        <is>
          <t>Tháng 04/2026</t>
        </is>
      </c>
      <c r="D147" s="14" t="inlineStr">
        <is>
          <t>Quý 2</t>
        </is>
      </c>
      <c r="E147" s="16" t="inlineStr">
        <is>
          <t>Ban Công nghệ &amp; AI</t>
        </is>
      </c>
      <c r="F147" s="16" t="inlineStr">
        <is>
          <t>Nhóm Gia Hưng</t>
        </is>
      </c>
      <c r="G147" s="16" t="inlineStr">
        <is>
          <t>Podcast / Audio</t>
        </is>
      </c>
      <c r="H147" s="16" t="inlineStr">
        <is>
          <t>Podcast Chuyên sâu (20p)</t>
        </is>
      </c>
      <c r="I147" s="16" t="inlineStr">
        <is>
          <t>Kinh tế - Thị trường</t>
        </is>
      </c>
      <c r="J147" s="16" t="inlineStr">
        <is>
          <t>Cơ bản (15%)</t>
        </is>
      </c>
      <c r="K147" s="17" t="n">
        <v>63999</v>
      </c>
      <c r="L147" s="17" t="n">
        <v>5619</v>
      </c>
      <c r="M147" s="18">
        <f>L147/K147</f>
        <v/>
      </c>
      <c r="N147" s="17" t="n">
        <v>395</v>
      </c>
      <c r="O147" s="18" t="n">
        <v>0.5161</v>
      </c>
      <c r="P147" s="17" t="n">
        <v>1550000</v>
      </c>
      <c r="Q147" s="17" t="n">
        <v>2250000</v>
      </c>
      <c r="R147" s="17">
        <f>Q147-P147</f>
        <v/>
      </c>
      <c r="S147" s="18">
        <f>(Q147-P147)/P147</f>
        <v/>
      </c>
      <c r="T147" s="14">
        <f>IF(AND(K147&gt;=50000, S147&gt;=0.35), "Vượt KPI", IF(AND(K147&gt;=20000, S147&gt;=0), "Đạt KPI", "Chưa đạt KPI"))</f>
        <v/>
      </c>
    </row>
    <row r="148">
      <c r="A148" s="10" t="inlineStr">
        <is>
          <t>SP-0145</t>
        </is>
      </c>
      <c r="B148" s="11" t="n">
        <v>46183</v>
      </c>
      <c r="C148" s="10" t="inlineStr">
        <is>
          <t>Tháng 06/2026</t>
        </is>
      </c>
      <c r="D148" s="10" t="inlineStr">
        <is>
          <t>Quý 2</t>
        </is>
      </c>
      <c r="E148" s="5" t="inlineStr">
        <is>
          <t>Ban Đời sống - Giới trẻ</t>
        </is>
      </c>
      <c r="F148" s="5" t="inlineStr">
        <is>
          <t>Nhóm Duy Khánh</t>
        </is>
      </c>
      <c r="G148" s="5" t="inlineStr">
        <is>
          <t>TikTok</t>
        </is>
      </c>
      <c r="H148" s="5" t="inlineStr">
        <is>
          <t>TikTok Reel (1-3p)</t>
        </is>
      </c>
      <c r="I148" s="5" t="inlineStr">
        <is>
          <t>Công nghệ &amp; AI</t>
        </is>
      </c>
      <c r="J148" s="5" t="inlineStr">
        <is>
          <t>Toàn trình (70%)</t>
        </is>
      </c>
      <c r="K148" s="12" t="n">
        <v>529137</v>
      </c>
      <c r="L148" s="12" t="n">
        <v>38150</v>
      </c>
      <c r="M148" s="13">
        <f>L148/K148</f>
        <v/>
      </c>
      <c r="N148" s="12" t="n">
        <v>23</v>
      </c>
      <c r="O148" s="13" t="n">
        <v>0.7583</v>
      </c>
      <c r="P148" s="12" t="n">
        <v>1000000</v>
      </c>
      <c r="Q148" s="12" t="n">
        <v>1900000</v>
      </c>
      <c r="R148" s="12">
        <f>Q148-P148</f>
        <v/>
      </c>
      <c r="S148" s="13">
        <f>(Q148-P148)/P148</f>
        <v/>
      </c>
      <c r="T148" s="10">
        <f>IF(AND(K148&gt;=50000, S148&gt;=0.35), "Vượt KPI", IF(AND(K148&gt;=20000, S148&gt;=0), "Đạt KPI", "Chưa đạt KPI"))</f>
        <v/>
      </c>
    </row>
    <row r="149">
      <c r="A149" s="14" t="inlineStr">
        <is>
          <t>SP-0146</t>
        </is>
      </c>
      <c r="B149" s="15" t="n">
        <v>46037</v>
      </c>
      <c r="C149" s="14" t="inlineStr">
        <is>
          <t>Tháng 01/2026</t>
        </is>
      </c>
      <c r="D149" s="14" t="inlineStr">
        <is>
          <t>Quý 1</t>
        </is>
      </c>
      <c r="E149" s="16" t="inlineStr">
        <is>
          <t>Ban Kinh tế - Tài chính</t>
        </is>
      </c>
      <c r="F149" s="16" t="inlineStr">
        <is>
          <t>Nhóm Đức Thịnh</t>
        </is>
      </c>
      <c r="G149" s="16" t="inlineStr">
        <is>
          <t>Facebook Page</t>
        </is>
      </c>
      <c r="H149" s="16" t="inlineStr">
        <is>
          <t>Facebook Reels</t>
        </is>
      </c>
      <c r="I149" s="16" t="inlineStr">
        <is>
          <t>Tài chính Cá nhân &amp; Đầu tư</t>
        </is>
      </c>
      <c r="J149" s="16" t="inlineStr">
        <is>
          <t>Cơ bản (15%)</t>
        </is>
      </c>
      <c r="K149" s="17" t="n">
        <v>25887</v>
      </c>
      <c r="L149" s="17" t="n">
        <v>947</v>
      </c>
      <c r="M149" s="18">
        <f>L149/K149</f>
        <v/>
      </c>
      <c r="N149" s="17" t="n">
        <v>27</v>
      </c>
      <c r="O149" s="18" t="n">
        <v>0.5467</v>
      </c>
      <c r="P149" s="17" t="n">
        <v>2300000</v>
      </c>
      <c r="Q149" s="17" t="n">
        <v>8550000</v>
      </c>
      <c r="R149" s="17">
        <f>Q149-P149</f>
        <v/>
      </c>
      <c r="S149" s="18">
        <f>(Q149-P149)/P149</f>
        <v/>
      </c>
      <c r="T149" s="14">
        <f>IF(AND(K149&gt;=50000, S149&gt;=0.35), "Vượt KPI", IF(AND(K149&gt;=20000, S149&gt;=0), "Đạt KPI", "Chưa đạt KPI"))</f>
        <v/>
      </c>
    </row>
    <row r="150">
      <c r="A150" s="10" t="inlineStr">
        <is>
          <t>SP-0147</t>
        </is>
      </c>
      <c r="B150" s="11" t="n">
        <v>46064</v>
      </c>
      <c r="C150" s="10" t="inlineStr">
        <is>
          <t>Tháng 02/2026</t>
        </is>
      </c>
      <c r="D150" s="10" t="inlineStr">
        <is>
          <t>Quý 1</t>
        </is>
      </c>
      <c r="E150" s="5" t="inlineStr">
        <is>
          <t>Ban Phóng sự - Điều tra</t>
        </is>
      </c>
      <c r="F150" s="5" t="inlineStr">
        <is>
          <t>Nhóm Khánh Linh</t>
        </is>
      </c>
      <c r="G150" s="5" t="inlineStr">
        <is>
          <t>TikTok</t>
        </is>
      </c>
      <c r="H150" s="5" t="inlineStr">
        <is>
          <t>Short Video (&lt;60s)</t>
        </is>
      </c>
      <c r="I150" s="5" t="inlineStr">
        <is>
          <t>Đời sống - Xã hội</t>
        </is>
      </c>
      <c r="J150" s="5" t="inlineStr">
        <is>
          <t>Cơ bản (15%)</t>
        </is>
      </c>
      <c r="K150" s="12" t="n">
        <v>751191</v>
      </c>
      <c r="L150" s="12" t="n">
        <v>81804</v>
      </c>
      <c r="M150" s="13">
        <f>L150/K150</f>
        <v/>
      </c>
      <c r="N150" s="12" t="n">
        <v>71</v>
      </c>
      <c r="O150" s="13" t="n">
        <v>0.4611</v>
      </c>
      <c r="P150" s="12" t="n">
        <v>2200000</v>
      </c>
      <c r="Q150" s="12" t="n">
        <v>11950000</v>
      </c>
      <c r="R150" s="12">
        <f>Q150-P150</f>
        <v/>
      </c>
      <c r="S150" s="13">
        <f>(Q150-P150)/P150</f>
        <v/>
      </c>
      <c r="T150" s="10">
        <f>IF(AND(K150&gt;=50000, S150&gt;=0.35), "Vượt KPI", IF(AND(K150&gt;=20000, S150&gt;=0), "Đạt KPI", "Chưa đạt KPI"))</f>
        <v/>
      </c>
    </row>
    <row r="151">
      <c r="A151" s="14" t="inlineStr">
        <is>
          <t>SP-0148</t>
        </is>
      </c>
      <c r="B151" s="15" t="n">
        <v>46131</v>
      </c>
      <c r="C151" s="14" t="inlineStr">
        <is>
          <t>Tháng 04/2026</t>
        </is>
      </c>
      <c r="D151" s="14" t="inlineStr">
        <is>
          <t>Quý 2</t>
        </is>
      </c>
      <c r="E151" s="16" t="inlineStr">
        <is>
          <t>Ban Thời sự - Chính trị</t>
        </is>
      </c>
      <c r="F151" s="16" t="inlineStr">
        <is>
          <t>Nhóm Việt Anh</t>
        </is>
      </c>
      <c r="G151" s="16" t="inlineStr">
        <is>
          <t>TikTok</t>
        </is>
      </c>
      <c r="H151" s="16" t="inlineStr">
        <is>
          <t>Short Video (&lt;60s)</t>
        </is>
      </c>
      <c r="I151" s="16" t="inlineStr">
        <is>
          <t>Kinh tế - Thị trường</t>
        </is>
      </c>
      <c r="J151" s="16" t="inlineStr">
        <is>
          <t>Hỗ trợ sâu (40%)</t>
        </is>
      </c>
      <c r="K151" s="17" t="n">
        <v>441190</v>
      </c>
      <c r="L151" s="17" t="n">
        <v>29736</v>
      </c>
      <c r="M151" s="18">
        <f>L151/K151</f>
        <v/>
      </c>
      <c r="N151" s="17" t="n">
        <v>77</v>
      </c>
      <c r="O151" s="18" t="n">
        <v>0.7713</v>
      </c>
      <c r="P151" s="17" t="n">
        <v>1200000</v>
      </c>
      <c r="Q151" s="17" t="n">
        <v>700000</v>
      </c>
      <c r="R151" s="17">
        <f>Q151-P151</f>
        <v/>
      </c>
      <c r="S151" s="18">
        <f>(Q151-P151)/P151</f>
        <v/>
      </c>
      <c r="T151" s="14">
        <f>IF(AND(K151&gt;=50000, S151&gt;=0.35), "Vượt KPI", IF(AND(K151&gt;=20000, S151&gt;=0), "Đạt KPI", "Chưa đạt KPI"))</f>
        <v/>
      </c>
    </row>
    <row r="152">
      <c r="A152" s="10" t="inlineStr">
        <is>
          <t>SP-0149</t>
        </is>
      </c>
      <c r="B152" s="11" t="n">
        <v>46074</v>
      </c>
      <c r="C152" s="10" t="inlineStr">
        <is>
          <t>Tháng 02/2026</t>
        </is>
      </c>
      <c r="D152" s="10" t="inlineStr">
        <is>
          <t>Quý 1</t>
        </is>
      </c>
      <c r="E152" s="5" t="inlineStr">
        <is>
          <t>Ban Công nghệ &amp; AI</t>
        </is>
      </c>
      <c r="F152" s="5" t="inlineStr">
        <is>
          <t>Nhóm Ngọc Ánh</t>
        </is>
      </c>
      <c r="G152" s="5" t="inlineStr">
        <is>
          <t>TikTok</t>
        </is>
      </c>
      <c r="H152" s="5" t="inlineStr">
        <is>
          <t>TikTok Reel (1-3p)</t>
        </is>
      </c>
      <c r="I152" s="5" t="inlineStr">
        <is>
          <t>Kinh tế - Thị trường</t>
        </is>
      </c>
      <c r="J152" s="5" t="inlineStr">
        <is>
          <t>Cơ bản (15%)</t>
        </is>
      </c>
      <c r="K152" s="12" t="n">
        <v>1428644</v>
      </c>
      <c r="L152" s="12" t="n">
        <v>119434</v>
      </c>
      <c r="M152" s="13">
        <f>L152/K152</f>
        <v/>
      </c>
      <c r="N152" s="12" t="n">
        <v>41</v>
      </c>
      <c r="O152" s="13" t="n">
        <v>0.507</v>
      </c>
      <c r="P152" s="12" t="n">
        <v>1100000</v>
      </c>
      <c r="Q152" s="12" t="n">
        <v>4300000</v>
      </c>
      <c r="R152" s="12">
        <f>Q152-P152</f>
        <v/>
      </c>
      <c r="S152" s="13">
        <f>(Q152-P152)/P152</f>
        <v/>
      </c>
      <c r="T152" s="10">
        <f>IF(AND(K152&gt;=50000, S152&gt;=0.35), "Vượt KPI", IF(AND(K152&gt;=20000, S152&gt;=0), "Đạt KPI", "Chưa đạt KPI"))</f>
        <v/>
      </c>
    </row>
    <row r="153">
      <c r="A153" s="14" t="inlineStr">
        <is>
          <t>SP-0150</t>
        </is>
      </c>
      <c r="B153" s="15" t="n">
        <v>46047</v>
      </c>
      <c r="C153" s="14" t="inlineStr">
        <is>
          <t>Tháng 01/2026</t>
        </is>
      </c>
      <c r="D153" s="14" t="inlineStr">
        <is>
          <t>Quý 1</t>
        </is>
      </c>
      <c r="E153" s="16" t="inlineStr">
        <is>
          <t>Ban Công nghệ &amp; AI</t>
        </is>
      </c>
      <c r="F153" s="16" t="inlineStr">
        <is>
          <t>Nhóm Ngọc Ánh</t>
        </is>
      </c>
      <c r="G153" s="16" t="inlineStr">
        <is>
          <t>YouTube</t>
        </is>
      </c>
      <c r="H153" s="16" t="inlineStr">
        <is>
          <t>YouTube Long-form (10-25p)</t>
        </is>
      </c>
      <c r="I153" s="16" t="inlineStr">
        <is>
          <t>Công nghệ &amp; AI</t>
        </is>
      </c>
      <c r="J153" s="16" t="inlineStr">
        <is>
          <t>Cơ bản (15%)</t>
        </is>
      </c>
      <c r="K153" s="17" t="n">
        <v>167694</v>
      </c>
      <c r="L153" s="17" t="n">
        <v>14388</v>
      </c>
      <c r="M153" s="18">
        <f>L153/K153</f>
        <v/>
      </c>
      <c r="N153" s="17" t="n">
        <v>628</v>
      </c>
      <c r="O153" s="18" t="n">
        <v>0.4383</v>
      </c>
      <c r="P153" s="17" t="n">
        <v>14050000</v>
      </c>
      <c r="Q153" s="17" t="n">
        <v>48350000</v>
      </c>
      <c r="R153" s="17">
        <f>Q153-P153</f>
        <v/>
      </c>
      <c r="S153" s="18">
        <f>(Q153-P153)/P153</f>
        <v/>
      </c>
      <c r="T153" s="14">
        <f>IF(AND(K153&gt;=50000, S153&gt;=0.35), "Vượt KPI", IF(AND(K153&gt;=20000, S153&gt;=0), "Đạt KPI", "Chưa đạt KPI"))</f>
        <v/>
      </c>
    </row>
    <row r="154">
      <c r="A154" s="10" t="inlineStr">
        <is>
          <t>SP-0151</t>
        </is>
      </c>
      <c r="B154" s="11" t="n">
        <v>46059</v>
      </c>
      <c r="C154" s="10" t="inlineStr">
        <is>
          <t>Tháng 02/2026</t>
        </is>
      </c>
      <c r="D154" s="10" t="inlineStr">
        <is>
          <t>Quý 1</t>
        </is>
      </c>
      <c r="E154" s="5" t="inlineStr">
        <is>
          <t>Ban Kinh tế - Tài chính</t>
        </is>
      </c>
      <c r="F154" s="5" t="inlineStr">
        <is>
          <t>Nhóm Minh Tuấn</t>
        </is>
      </c>
      <c r="G154" s="5" t="inlineStr">
        <is>
          <t>Facebook Page</t>
        </is>
      </c>
      <c r="H154" s="5" t="inlineStr">
        <is>
          <t>Video Bản tin (3-5p)</t>
        </is>
      </c>
      <c r="I154" s="5" t="inlineStr">
        <is>
          <t>Kinh tế - Thị trường</t>
        </is>
      </c>
      <c r="J154" s="5" t="inlineStr">
        <is>
          <t>Toàn trình (70%)</t>
        </is>
      </c>
      <c r="K154" s="12" t="n">
        <v>249298</v>
      </c>
      <c r="L154" s="12" t="n">
        <v>21514</v>
      </c>
      <c r="M154" s="13">
        <f>L154/K154</f>
        <v/>
      </c>
      <c r="N154" s="12" t="n">
        <v>109</v>
      </c>
      <c r="O154" s="13" t="n">
        <v>0.7004</v>
      </c>
      <c r="P154" s="12" t="n">
        <v>2850000</v>
      </c>
      <c r="Q154" s="12" t="n">
        <v>5100000</v>
      </c>
      <c r="R154" s="12">
        <f>Q154-P154</f>
        <v/>
      </c>
      <c r="S154" s="13">
        <f>(Q154-P154)/P154</f>
        <v/>
      </c>
      <c r="T154" s="10">
        <f>IF(AND(K154&gt;=50000, S154&gt;=0.35), "Vượt KPI", IF(AND(K154&gt;=20000, S154&gt;=0), "Đạt KPI", "Chưa đạt KPI"))</f>
        <v/>
      </c>
    </row>
    <row r="155">
      <c r="A155" s="14" t="inlineStr">
        <is>
          <t>SP-0152</t>
        </is>
      </c>
      <c r="B155" s="15" t="n">
        <v>46123</v>
      </c>
      <c r="C155" s="14" t="inlineStr">
        <is>
          <t>Tháng 04/2026</t>
        </is>
      </c>
      <c r="D155" s="14" t="inlineStr">
        <is>
          <t>Quý 2</t>
        </is>
      </c>
      <c r="E155" s="16" t="inlineStr">
        <is>
          <t>Ban Phóng sự - Điều tra</t>
        </is>
      </c>
      <c r="F155" s="16" t="inlineStr">
        <is>
          <t>Nhóm Khánh Linh</t>
        </is>
      </c>
      <c r="G155" s="16" t="inlineStr">
        <is>
          <t>Facebook Page</t>
        </is>
      </c>
      <c r="H155" s="16" t="inlineStr">
        <is>
          <t>Video Bản tin (3-5p)</t>
        </is>
      </c>
      <c r="I155" s="16" t="inlineStr">
        <is>
          <t>Phóng sự Điều tra</t>
        </is>
      </c>
      <c r="J155" s="16" t="inlineStr">
        <is>
          <t>Cơ bản (15%)</t>
        </is>
      </c>
      <c r="K155" s="17" t="n">
        <v>203794</v>
      </c>
      <c r="L155" s="17" t="n">
        <v>12472</v>
      </c>
      <c r="M155" s="18">
        <f>L155/K155</f>
        <v/>
      </c>
      <c r="N155" s="17" t="n">
        <v>90</v>
      </c>
      <c r="O155" s="18" t="n">
        <v>0.6601</v>
      </c>
      <c r="P155" s="17" t="n">
        <v>3350000</v>
      </c>
      <c r="Q155" s="17" t="n">
        <v>13700000</v>
      </c>
      <c r="R155" s="17">
        <f>Q155-P155</f>
        <v/>
      </c>
      <c r="S155" s="18">
        <f>(Q155-P155)/P155</f>
        <v/>
      </c>
      <c r="T155" s="14">
        <f>IF(AND(K155&gt;=50000, S155&gt;=0.35), "Vượt KPI", IF(AND(K155&gt;=20000, S155&gt;=0), "Đạt KPI", "Chưa đạt KPI"))</f>
        <v/>
      </c>
    </row>
    <row r="156">
      <c r="A156" s="10" t="inlineStr">
        <is>
          <t>SP-0153</t>
        </is>
      </c>
      <c r="B156" s="11" t="n">
        <v>46174</v>
      </c>
      <c r="C156" s="10" t="inlineStr">
        <is>
          <t>Tháng 06/2026</t>
        </is>
      </c>
      <c r="D156" s="10" t="inlineStr">
        <is>
          <t>Quý 2</t>
        </is>
      </c>
      <c r="E156" s="5" t="inlineStr">
        <is>
          <t>Ban Đời sống - Giới trẻ</t>
        </is>
      </c>
      <c r="F156" s="5" t="inlineStr">
        <is>
          <t>Nhóm Duy Khánh</t>
        </is>
      </c>
      <c r="G156" s="5" t="inlineStr">
        <is>
          <t>YouTube</t>
        </is>
      </c>
      <c r="H156" s="5" t="inlineStr">
        <is>
          <t>YouTube Long-form (10-25p)</t>
        </is>
      </c>
      <c r="I156" s="5" t="inlineStr">
        <is>
          <t>Công nghệ &amp; AI</t>
        </is>
      </c>
      <c r="J156" s="5" t="inlineStr">
        <is>
          <t>Hỗ trợ sâu (40%)</t>
        </is>
      </c>
      <c r="K156" s="12" t="n">
        <v>60672</v>
      </c>
      <c r="L156" s="12" t="n">
        <v>4975</v>
      </c>
      <c r="M156" s="13">
        <f>L156/K156</f>
        <v/>
      </c>
      <c r="N156" s="12" t="n">
        <v>545</v>
      </c>
      <c r="O156" s="13" t="n">
        <v>0.728</v>
      </c>
      <c r="P156" s="12" t="n">
        <v>6650000</v>
      </c>
      <c r="Q156" s="12" t="n">
        <v>18700000</v>
      </c>
      <c r="R156" s="12">
        <f>Q156-P156</f>
        <v/>
      </c>
      <c r="S156" s="13">
        <f>(Q156-P156)/P156</f>
        <v/>
      </c>
      <c r="T156" s="10">
        <f>IF(AND(K156&gt;=50000, S156&gt;=0.35), "Vượt KPI", IF(AND(K156&gt;=20000, S156&gt;=0), "Đạt KPI", "Chưa đạt KPI"))</f>
        <v/>
      </c>
    </row>
    <row r="157">
      <c r="A157" s="14" t="inlineStr">
        <is>
          <t>SP-0154</t>
        </is>
      </c>
      <c r="B157" s="15" t="n">
        <v>46184</v>
      </c>
      <c r="C157" s="14" t="inlineStr">
        <is>
          <t>Tháng 06/2026</t>
        </is>
      </c>
      <c r="D157" s="14" t="inlineStr">
        <is>
          <t>Quý 2</t>
        </is>
      </c>
      <c r="E157" s="16" t="inlineStr">
        <is>
          <t>Ban Công nghệ &amp; AI</t>
        </is>
      </c>
      <c r="F157" s="16" t="inlineStr">
        <is>
          <t>Nhóm Tuấn Kiệt</t>
        </is>
      </c>
      <c r="G157" s="16" t="inlineStr">
        <is>
          <t>YouTube</t>
        </is>
      </c>
      <c r="H157" s="16" t="inlineStr">
        <is>
          <t>YouTube Shorts</t>
        </is>
      </c>
      <c r="I157" s="16" t="inlineStr">
        <is>
          <t>Giáo dục &amp; Tuyển sinh</t>
        </is>
      </c>
      <c r="J157" s="16" t="inlineStr">
        <is>
          <t>Thủ công (0%)</t>
        </is>
      </c>
      <c r="K157" s="17" t="n">
        <v>134099</v>
      </c>
      <c r="L157" s="17" t="n">
        <v>10875</v>
      </c>
      <c r="M157" s="18">
        <f>L157/K157</f>
        <v/>
      </c>
      <c r="N157" s="17" t="n">
        <v>80</v>
      </c>
      <c r="O157" s="18" t="n">
        <v>0.5685</v>
      </c>
      <c r="P157" s="17" t="n">
        <v>5500000</v>
      </c>
      <c r="Q157" s="17" t="n">
        <v>18650000</v>
      </c>
      <c r="R157" s="17">
        <f>Q157-P157</f>
        <v/>
      </c>
      <c r="S157" s="18">
        <f>(Q157-P157)/P157</f>
        <v/>
      </c>
      <c r="T157" s="14">
        <f>IF(AND(K157&gt;=50000, S157&gt;=0.35), "Vượt KPI", IF(AND(K157&gt;=20000, S157&gt;=0), "Đạt KPI", "Chưa đạt KPI"))</f>
        <v/>
      </c>
    </row>
    <row r="158">
      <c r="A158" s="10" t="inlineStr">
        <is>
          <t>SP-0155</t>
        </is>
      </c>
      <c r="B158" s="11" t="n">
        <v>46152</v>
      </c>
      <c r="C158" s="10" t="inlineStr">
        <is>
          <t>Tháng 05/2026</t>
        </is>
      </c>
      <c r="D158" s="10" t="inlineStr">
        <is>
          <t>Quý 2</t>
        </is>
      </c>
      <c r="E158" s="5" t="inlineStr">
        <is>
          <t>Ban Phóng sự - Điều tra</t>
        </is>
      </c>
      <c r="F158" s="5" t="inlineStr">
        <is>
          <t>Nhóm Trọng Nghĩa</t>
        </is>
      </c>
      <c r="G158" s="5" t="inlineStr">
        <is>
          <t>YouTube</t>
        </is>
      </c>
      <c r="H158" s="5" t="inlineStr">
        <is>
          <t>YouTube Long-form (10-25p)</t>
        </is>
      </c>
      <c r="I158" s="5" t="inlineStr">
        <is>
          <t>Chính sách &amp; Pháp luật</t>
        </is>
      </c>
      <c r="J158" s="5" t="inlineStr">
        <is>
          <t>Hỗ trợ sâu (40%)</t>
        </is>
      </c>
      <c r="K158" s="12" t="n">
        <v>55912</v>
      </c>
      <c r="L158" s="12" t="n">
        <v>5222</v>
      </c>
      <c r="M158" s="13">
        <f>L158/K158</f>
        <v/>
      </c>
      <c r="N158" s="12" t="n">
        <v>506</v>
      </c>
      <c r="O158" s="13" t="n">
        <v>0.5413</v>
      </c>
      <c r="P158" s="12" t="n">
        <v>5700000</v>
      </c>
      <c r="Q158" s="12" t="n">
        <v>15850000</v>
      </c>
      <c r="R158" s="12">
        <f>Q158-P158</f>
        <v/>
      </c>
      <c r="S158" s="13">
        <f>(Q158-P158)/P158</f>
        <v/>
      </c>
      <c r="T158" s="10">
        <f>IF(AND(K158&gt;=50000, S158&gt;=0.35), "Vượt KPI", IF(AND(K158&gt;=20000, S158&gt;=0), "Đạt KPI", "Chưa đạt KPI"))</f>
        <v/>
      </c>
    </row>
    <row r="159">
      <c r="A159" s="14" t="inlineStr">
        <is>
          <t>SP-0156</t>
        </is>
      </c>
      <c r="B159" s="15" t="n">
        <v>46188</v>
      </c>
      <c r="C159" s="14" t="inlineStr">
        <is>
          <t>Tháng 06/2026</t>
        </is>
      </c>
      <c r="D159" s="14" t="inlineStr">
        <is>
          <t>Quý 2</t>
        </is>
      </c>
      <c r="E159" s="16" t="inlineStr">
        <is>
          <t>Ban Thời sự - Chính trị</t>
        </is>
      </c>
      <c r="F159" s="16" t="inlineStr">
        <is>
          <t>Nhóm Việt Anh</t>
        </is>
      </c>
      <c r="G159" s="16" t="inlineStr">
        <is>
          <t>TikTok</t>
        </is>
      </c>
      <c r="H159" s="16" t="inlineStr">
        <is>
          <t>TikTok Reel (1-3p)</t>
        </is>
      </c>
      <c r="I159" s="16" t="inlineStr">
        <is>
          <t>Đời sống - Xã hội</t>
        </is>
      </c>
      <c r="J159" s="16" t="inlineStr">
        <is>
          <t>Hỗ trợ sâu (40%)</t>
        </is>
      </c>
      <c r="K159" s="17" t="n">
        <v>892899</v>
      </c>
      <c r="L159" s="17" t="n">
        <v>94111</v>
      </c>
      <c r="M159" s="18">
        <f>L159/K159</f>
        <v/>
      </c>
      <c r="N159" s="17" t="n">
        <v>29</v>
      </c>
      <c r="O159" s="18" t="n">
        <v>0.6556999999999999</v>
      </c>
      <c r="P159" s="17" t="n">
        <v>1150000</v>
      </c>
      <c r="Q159" s="17" t="n">
        <v>3550000</v>
      </c>
      <c r="R159" s="17">
        <f>Q159-P159</f>
        <v/>
      </c>
      <c r="S159" s="18">
        <f>(Q159-P159)/P159</f>
        <v/>
      </c>
      <c r="T159" s="14">
        <f>IF(AND(K159&gt;=50000, S159&gt;=0.35), "Vượt KPI", IF(AND(K159&gt;=20000, S159&gt;=0), "Đạt KPI", "Chưa đạt KPI"))</f>
        <v/>
      </c>
    </row>
    <row r="160">
      <c r="A160" s="10" t="inlineStr">
        <is>
          <t>SP-0157</t>
        </is>
      </c>
      <c r="B160" s="11" t="n">
        <v>46120</v>
      </c>
      <c r="C160" s="10" t="inlineStr">
        <is>
          <t>Tháng 04/2026</t>
        </is>
      </c>
      <c r="D160" s="10" t="inlineStr">
        <is>
          <t>Quý 2</t>
        </is>
      </c>
      <c r="E160" s="5" t="inlineStr">
        <is>
          <t>Ban Thời sự - Chính trị</t>
        </is>
      </c>
      <c r="F160" s="5" t="inlineStr">
        <is>
          <t>Nhóm Việt Anh</t>
        </is>
      </c>
      <c r="G160" s="5" t="inlineStr">
        <is>
          <t>Facebook Page</t>
        </is>
      </c>
      <c r="H160" s="5" t="inlineStr">
        <is>
          <t>Facebook Reels</t>
        </is>
      </c>
      <c r="I160" s="5" t="inlineStr">
        <is>
          <t>Phóng sự Điều tra</t>
        </is>
      </c>
      <c r="J160" s="5" t="inlineStr">
        <is>
          <t>Cơ bản (15%)</t>
        </is>
      </c>
      <c r="K160" s="12" t="n">
        <v>212055</v>
      </c>
      <c r="L160" s="12" t="n">
        <v>17197</v>
      </c>
      <c r="M160" s="13">
        <f>L160/K160</f>
        <v/>
      </c>
      <c r="N160" s="12" t="n">
        <v>143</v>
      </c>
      <c r="O160" s="13" t="n">
        <v>0.3212</v>
      </c>
      <c r="P160" s="12" t="n">
        <v>3150000</v>
      </c>
      <c r="Q160" s="12" t="n">
        <v>12300000</v>
      </c>
      <c r="R160" s="12">
        <f>Q160-P160</f>
        <v/>
      </c>
      <c r="S160" s="13">
        <f>(Q160-P160)/P160</f>
        <v/>
      </c>
      <c r="T160" s="10">
        <f>IF(AND(K160&gt;=50000, S160&gt;=0.35), "Vượt KPI", IF(AND(K160&gt;=20000, S160&gt;=0), "Đạt KPI", "Chưa đạt KPI"))</f>
        <v/>
      </c>
    </row>
    <row r="161">
      <c r="A161" s="14" t="inlineStr">
        <is>
          <t>SP-0158</t>
        </is>
      </c>
      <c r="B161" s="15" t="n">
        <v>46154</v>
      </c>
      <c r="C161" s="14" t="inlineStr">
        <is>
          <t>Tháng 05/2026</t>
        </is>
      </c>
      <c r="D161" s="14" t="inlineStr">
        <is>
          <t>Quý 2</t>
        </is>
      </c>
      <c r="E161" s="16" t="inlineStr">
        <is>
          <t>Ban Kinh tế - Tài chính</t>
        </is>
      </c>
      <c r="F161" s="16" t="inlineStr">
        <is>
          <t>Nhóm Minh Tuấn</t>
        </is>
      </c>
      <c r="G161" s="16" t="inlineStr">
        <is>
          <t>Facebook Page</t>
        </is>
      </c>
      <c r="H161" s="16" t="inlineStr">
        <is>
          <t>Video Bản tin (3-5p)</t>
        </is>
      </c>
      <c r="I161" s="16" t="inlineStr">
        <is>
          <t>Chính sách &amp; Pháp luật</t>
        </is>
      </c>
      <c r="J161" s="16" t="inlineStr">
        <is>
          <t>Cơ bản (15%)</t>
        </is>
      </c>
      <c r="K161" s="17" t="n">
        <v>436245</v>
      </c>
      <c r="L161" s="17" t="n">
        <v>18627</v>
      </c>
      <c r="M161" s="18">
        <f>L161/K161</f>
        <v/>
      </c>
      <c r="N161" s="17" t="n">
        <v>69</v>
      </c>
      <c r="O161" s="18" t="n">
        <v>0.5845</v>
      </c>
      <c r="P161" s="17" t="n">
        <v>1100000</v>
      </c>
      <c r="Q161" s="17" t="n">
        <v>3050000</v>
      </c>
      <c r="R161" s="17">
        <f>Q161-P161</f>
        <v/>
      </c>
      <c r="S161" s="18">
        <f>(Q161-P161)/P161</f>
        <v/>
      </c>
      <c r="T161" s="14">
        <f>IF(AND(K161&gt;=50000, S161&gt;=0.35), "Vượt KPI", IF(AND(K161&gt;=20000, S161&gt;=0), "Đạt KPI", "Chưa đạt KPI"))</f>
        <v/>
      </c>
    </row>
    <row r="162">
      <c r="A162" s="10" t="inlineStr">
        <is>
          <t>SP-0159</t>
        </is>
      </c>
      <c r="B162" s="11" t="n">
        <v>46199</v>
      </c>
      <c r="C162" s="10" t="inlineStr">
        <is>
          <t>Tháng 06/2026</t>
        </is>
      </c>
      <c r="D162" s="10" t="inlineStr">
        <is>
          <t>Quý 2</t>
        </is>
      </c>
      <c r="E162" s="5" t="inlineStr">
        <is>
          <t>Ban Đời sống - Giới trẻ</t>
        </is>
      </c>
      <c r="F162" s="5" t="inlineStr">
        <is>
          <t>Nhóm Bảo Ngọc</t>
        </is>
      </c>
      <c r="G162" s="5" t="inlineStr">
        <is>
          <t>Báo Điện tử (Web)</t>
        </is>
      </c>
      <c r="H162" s="5" t="inlineStr">
        <is>
          <t>Longform / E-magazine</t>
        </is>
      </c>
      <c r="I162" s="5" t="inlineStr">
        <is>
          <t>Tài chính Cá nhân &amp; Đầu tư</t>
        </is>
      </c>
      <c r="J162" s="5" t="inlineStr">
        <is>
          <t>Cơ bản (15%)</t>
        </is>
      </c>
      <c r="K162" s="12" t="n">
        <v>59481</v>
      </c>
      <c r="L162" s="12" t="n">
        <v>5204</v>
      </c>
      <c r="M162" s="13">
        <f>L162/K162</f>
        <v/>
      </c>
      <c r="N162" s="12" t="n">
        <v>306</v>
      </c>
      <c r="O162" s="13" t="n">
        <v>0.3547</v>
      </c>
      <c r="P162" s="12" t="n">
        <v>1150000</v>
      </c>
      <c r="Q162" s="12" t="n">
        <v>4300000</v>
      </c>
      <c r="R162" s="12">
        <f>Q162-P162</f>
        <v/>
      </c>
      <c r="S162" s="13">
        <f>(Q162-P162)/P162</f>
        <v/>
      </c>
      <c r="T162" s="10">
        <f>IF(AND(K162&gt;=50000, S162&gt;=0.35), "Vượt KPI", IF(AND(K162&gt;=20000, S162&gt;=0), "Đạt KPI", "Chưa đạt KPI"))</f>
        <v/>
      </c>
    </row>
    <row r="163">
      <c r="A163" s="14" t="inlineStr">
        <is>
          <t>SP-0160</t>
        </is>
      </c>
      <c r="B163" s="15" t="n">
        <v>46029</v>
      </c>
      <c r="C163" s="14" t="inlineStr">
        <is>
          <t>Tháng 01/2026</t>
        </is>
      </c>
      <c r="D163" s="14" t="inlineStr">
        <is>
          <t>Quý 1</t>
        </is>
      </c>
      <c r="E163" s="16" t="inlineStr">
        <is>
          <t>Ban Đời sống - Giới trẻ</t>
        </is>
      </c>
      <c r="F163" s="16" t="inlineStr">
        <is>
          <t>Nhóm Duy Khánh</t>
        </is>
      </c>
      <c r="G163" s="16" t="inlineStr">
        <is>
          <t>YouTube</t>
        </is>
      </c>
      <c r="H163" s="16" t="inlineStr">
        <is>
          <t>YouTube Long-form (10-25p)</t>
        </is>
      </c>
      <c r="I163" s="16" t="inlineStr">
        <is>
          <t>Tài chính Cá nhân &amp; Đầu tư</t>
        </is>
      </c>
      <c r="J163" s="16" t="inlineStr">
        <is>
          <t>Hỗ trợ sâu (40%)</t>
        </is>
      </c>
      <c r="K163" s="17" t="n">
        <v>99824</v>
      </c>
      <c r="L163" s="17" t="n">
        <v>8465</v>
      </c>
      <c r="M163" s="18">
        <f>L163/K163</f>
        <v/>
      </c>
      <c r="N163" s="17" t="n">
        <v>348</v>
      </c>
      <c r="O163" s="18" t="n">
        <v>0.3487</v>
      </c>
      <c r="P163" s="17" t="n">
        <v>7900000</v>
      </c>
      <c r="Q163" s="17" t="n">
        <v>6300000</v>
      </c>
      <c r="R163" s="17">
        <f>Q163-P163</f>
        <v/>
      </c>
      <c r="S163" s="18">
        <f>(Q163-P163)/P163</f>
        <v/>
      </c>
      <c r="T163" s="14">
        <f>IF(AND(K163&gt;=50000, S163&gt;=0.35), "Vượt KPI", IF(AND(K163&gt;=20000, S163&gt;=0), "Đạt KPI", "Chưa đạt KPI"))</f>
        <v/>
      </c>
    </row>
    <row r="164">
      <c r="A164" s="10" t="inlineStr">
        <is>
          <t>SP-0161</t>
        </is>
      </c>
      <c r="B164" s="11" t="n">
        <v>46044</v>
      </c>
      <c r="C164" s="10" t="inlineStr">
        <is>
          <t>Tháng 01/2026</t>
        </is>
      </c>
      <c r="D164" s="10" t="inlineStr">
        <is>
          <t>Quý 1</t>
        </is>
      </c>
      <c r="E164" s="5" t="inlineStr">
        <is>
          <t>Ban Đời sống - Giới trẻ</t>
        </is>
      </c>
      <c r="F164" s="5" t="inlineStr">
        <is>
          <t>Nhóm Duy Khánh</t>
        </is>
      </c>
      <c r="G164" s="5" t="inlineStr">
        <is>
          <t>TikTok</t>
        </is>
      </c>
      <c r="H164" s="5" t="inlineStr">
        <is>
          <t>TikTok Reel (1-3p)</t>
        </is>
      </c>
      <c r="I164" s="5" t="inlineStr">
        <is>
          <t>Công nghệ &amp; AI</t>
        </is>
      </c>
      <c r="J164" s="5" t="inlineStr">
        <is>
          <t>Toàn trình (70%)</t>
        </is>
      </c>
      <c r="K164" s="12" t="n">
        <v>287097</v>
      </c>
      <c r="L164" s="12" t="n">
        <v>25723</v>
      </c>
      <c r="M164" s="13">
        <f>L164/K164</f>
        <v/>
      </c>
      <c r="N164" s="12" t="n">
        <v>90</v>
      </c>
      <c r="O164" s="13" t="n">
        <v>0.4411</v>
      </c>
      <c r="P164" s="12" t="n">
        <v>1150000</v>
      </c>
      <c r="Q164" s="12" t="n">
        <v>2250000</v>
      </c>
      <c r="R164" s="12">
        <f>Q164-P164</f>
        <v/>
      </c>
      <c r="S164" s="13">
        <f>(Q164-P164)/P164</f>
        <v/>
      </c>
      <c r="T164" s="10">
        <f>IF(AND(K164&gt;=50000, S164&gt;=0.35), "Vượt KPI", IF(AND(K164&gt;=20000, S164&gt;=0), "Đạt KPI", "Chưa đạt KPI"))</f>
        <v/>
      </c>
    </row>
    <row r="165">
      <c r="A165" s="14" t="inlineStr">
        <is>
          <t>SP-0162</t>
        </is>
      </c>
      <c r="B165" s="15" t="n">
        <v>46046</v>
      </c>
      <c r="C165" s="14" t="inlineStr">
        <is>
          <t>Tháng 01/2026</t>
        </is>
      </c>
      <c r="D165" s="14" t="inlineStr">
        <is>
          <t>Quý 1</t>
        </is>
      </c>
      <c r="E165" s="16" t="inlineStr">
        <is>
          <t>Ban Phóng sự - Điều tra</t>
        </is>
      </c>
      <c r="F165" s="16" t="inlineStr">
        <is>
          <t>Nhóm Trọng Nghĩa</t>
        </is>
      </c>
      <c r="G165" s="16" t="inlineStr">
        <is>
          <t>TikTok</t>
        </is>
      </c>
      <c r="H165" s="16" t="inlineStr">
        <is>
          <t>Short Video (&lt;60s)</t>
        </is>
      </c>
      <c r="I165" s="16" t="inlineStr">
        <is>
          <t>Chính sách &amp; Pháp luật</t>
        </is>
      </c>
      <c r="J165" s="16" t="inlineStr">
        <is>
          <t>Toàn trình (70%)</t>
        </is>
      </c>
      <c r="K165" s="17" t="n">
        <v>320681</v>
      </c>
      <c r="L165" s="17" t="n">
        <v>26424</v>
      </c>
      <c r="M165" s="18">
        <f>L165/K165</f>
        <v/>
      </c>
      <c r="N165" s="17" t="n">
        <v>28</v>
      </c>
      <c r="O165" s="18" t="n">
        <v>0.4811</v>
      </c>
      <c r="P165" s="17" t="n">
        <v>1050000</v>
      </c>
      <c r="Q165" s="17" t="n">
        <v>1650000</v>
      </c>
      <c r="R165" s="17">
        <f>Q165-P165</f>
        <v/>
      </c>
      <c r="S165" s="18">
        <f>(Q165-P165)/P165</f>
        <v/>
      </c>
      <c r="T165" s="14">
        <f>IF(AND(K165&gt;=50000, S165&gt;=0.35), "Vượt KPI", IF(AND(K165&gt;=20000, S165&gt;=0), "Đạt KPI", "Chưa đạt KPI"))</f>
        <v/>
      </c>
    </row>
    <row r="166">
      <c r="A166" s="10" t="inlineStr">
        <is>
          <t>SP-0163</t>
        </is>
      </c>
      <c r="B166" s="11" t="n">
        <v>46074</v>
      </c>
      <c r="C166" s="10" t="inlineStr">
        <is>
          <t>Tháng 02/2026</t>
        </is>
      </c>
      <c r="D166" s="10" t="inlineStr">
        <is>
          <t>Quý 1</t>
        </is>
      </c>
      <c r="E166" s="5" t="inlineStr">
        <is>
          <t>Ban Công nghệ &amp; AI</t>
        </is>
      </c>
      <c r="F166" s="5" t="inlineStr">
        <is>
          <t>Nhóm Tuấn Kiệt</t>
        </is>
      </c>
      <c r="G166" s="5" t="inlineStr">
        <is>
          <t>TikTok</t>
        </is>
      </c>
      <c r="H166" s="5" t="inlineStr">
        <is>
          <t>Short Video (&lt;60s)</t>
        </is>
      </c>
      <c r="I166" s="5" t="inlineStr">
        <is>
          <t>Công nghệ &amp; AI</t>
        </is>
      </c>
      <c r="J166" s="5" t="inlineStr">
        <is>
          <t>Hỗ trợ sâu (40%)</t>
        </is>
      </c>
      <c r="K166" s="12" t="n">
        <v>235151</v>
      </c>
      <c r="L166" s="12" t="n">
        <v>18200</v>
      </c>
      <c r="M166" s="13">
        <f>L166/K166</f>
        <v/>
      </c>
      <c r="N166" s="12" t="n">
        <v>39</v>
      </c>
      <c r="O166" s="13" t="n">
        <v>0.6393</v>
      </c>
      <c r="P166" s="12" t="n">
        <v>1000000</v>
      </c>
      <c r="Q166" s="12" t="n">
        <v>600000</v>
      </c>
      <c r="R166" s="12">
        <f>Q166-P166</f>
        <v/>
      </c>
      <c r="S166" s="13">
        <f>(Q166-P166)/P166</f>
        <v/>
      </c>
      <c r="T166" s="10">
        <f>IF(AND(K166&gt;=50000, S166&gt;=0.35), "Vượt KPI", IF(AND(K166&gt;=20000, S166&gt;=0), "Đạt KPI", "Chưa đạt KPI"))</f>
        <v/>
      </c>
    </row>
    <row r="167">
      <c r="A167" s="14" t="inlineStr">
        <is>
          <t>SP-0164</t>
        </is>
      </c>
      <c r="B167" s="15" t="n">
        <v>46186</v>
      </c>
      <c r="C167" s="14" t="inlineStr">
        <is>
          <t>Tháng 06/2026</t>
        </is>
      </c>
      <c r="D167" s="14" t="inlineStr">
        <is>
          <t>Quý 2</t>
        </is>
      </c>
      <c r="E167" s="16" t="inlineStr">
        <is>
          <t>Ban Đời sống - Giới trẻ</t>
        </is>
      </c>
      <c r="F167" s="16" t="inlineStr">
        <is>
          <t>Nhóm Bảo Ngọc</t>
        </is>
      </c>
      <c r="G167" s="16" t="inlineStr">
        <is>
          <t>YouTube</t>
        </is>
      </c>
      <c r="H167" s="16" t="inlineStr">
        <is>
          <t>YouTube Documentary (&gt;25p)</t>
        </is>
      </c>
      <c r="I167" s="16" t="inlineStr">
        <is>
          <t>Tài chính Cá nhân &amp; Đầu tư</t>
        </is>
      </c>
      <c r="J167" s="16" t="inlineStr">
        <is>
          <t>Cơ bản (15%)</t>
        </is>
      </c>
      <c r="K167" s="17" t="n">
        <v>208600</v>
      </c>
      <c r="L167" s="17" t="n">
        <v>16854</v>
      </c>
      <c r="M167" s="18">
        <f>L167/K167</f>
        <v/>
      </c>
      <c r="N167" s="17" t="n">
        <v>749</v>
      </c>
      <c r="O167" s="18" t="n">
        <v>0.3284</v>
      </c>
      <c r="P167" s="17" t="n">
        <v>14450000</v>
      </c>
      <c r="Q167" s="17" t="n">
        <v>12850000</v>
      </c>
      <c r="R167" s="17">
        <f>Q167-P167</f>
        <v/>
      </c>
      <c r="S167" s="18">
        <f>(Q167-P167)/P167</f>
        <v/>
      </c>
      <c r="T167" s="14">
        <f>IF(AND(K167&gt;=50000, S167&gt;=0.35), "Vượt KPI", IF(AND(K167&gt;=20000, S167&gt;=0), "Đạt KPI", "Chưa đạt KPI"))</f>
        <v/>
      </c>
    </row>
    <row r="168">
      <c r="A168" s="10" t="inlineStr">
        <is>
          <t>SP-0165</t>
        </is>
      </c>
      <c r="B168" s="11" t="n">
        <v>46160</v>
      </c>
      <c r="C168" s="10" t="inlineStr">
        <is>
          <t>Tháng 05/2026</t>
        </is>
      </c>
      <c r="D168" s="10" t="inlineStr">
        <is>
          <t>Quý 2</t>
        </is>
      </c>
      <c r="E168" s="5" t="inlineStr">
        <is>
          <t>Ban Công nghệ &amp; AI</t>
        </is>
      </c>
      <c r="F168" s="5" t="inlineStr">
        <is>
          <t>Nhóm Tuấn Kiệt</t>
        </is>
      </c>
      <c r="G168" s="5" t="inlineStr">
        <is>
          <t>YouTube</t>
        </is>
      </c>
      <c r="H168" s="5" t="inlineStr">
        <is>
          <t>YouTube Long-form (10-25p)</t>
        </is>
      </c>
      <c r="I168" s="5" t="inlineStr">
        <is>
          <t>Giáo dục &amp; Tuyển sinh</t>
        </is>
      </c>
      <c r="J168" s="5" t="inlineStr">
        <is>
          <t>Cơ bản (15%)</t>
        </is>
      </c>
      <c r="K168" s="12" t="n">
        <v>38711</v>
      </c>
      <c r="L168" s="12" t="n">
        <v>3518</v>
      </c>
      <c r="M168" s="13">
        <f>L168/K168</f>
        <v/>
      </c>
      <c r="N168" s="12" t="n">
        <v>394</v>
      </c>
      <c r="O168" s="13" t="n">
        <v>0.5611</v>
      </c>
      <c r="P168" s="12" t="n">
        <v>5500000</v>
      </c>
      <c r="Q168" s="12" t="n">
        <v>9550000</v>
      </c>
      <c r="R168" s="12">
        <f>Q168-P168</f>
        <v/>
      </c>
      <c r="S168" s="13">
        <f>(Q168-P168)/P168</f>
        <v/>
      </c>
      <c r="T168" s="10">
        <f>IF(AND(K168&gt;=50000, S168&gt;=0.35), "Vượt KPI", IF(AND(K168&gt;=20000, S168&gt;=0), "Đạt KPI", "Chưa đạt KPI"))</f>
        <v/>
      </c>
    </row>
    <row r="169">
      <c r="A169" s="14" t="inlineStr">
        <is>
          <t>SP-0166</t>
        </is>
      </c>
      <c r="B169" s="15" t="n">
        <v>46035</v>
      </c>
      <c r="C169" s="14" t="inlineStr">
        <is>
          <t>Tháng 01/2026</t>
        </is>
      </c>
      <c r="D169" s="14" t="inlineStr">
        <is>
          <t>Quý 1</t>
        </is>
      </c>
      <c r="E169" s="16" t="inlineStr">
        <is>
          <t>Ban Video &amp; Truyền hình số</t>
        </is>
      </c>
      <c r="F169" s="16" t="inlineStr">
        <is>
          <t>Nhóm Đặng Minh</t>
        </is>
      </c>
      <c r="G169" s="16" t="inlineStr">
        <is>
          <t>YouTube</t>
        </is>
      </c>
      <c r="H169" s="16" t="inlineStr">
        <is>
          <t>YouTube Documentary (&gt;25p)</t>
        </is>
      </c>
      <c r="I169" s="16" t="inlineStr">
        <is>
          <t>Công nghệ &amp; AI</t>
        </is>
      </c>
      <c r="J169" s="16" t="inlineStr">
        <is>
          <t>Thủ công (0%)</t>
        </is>
      </c>
      <c r="K169" s="17" t="n">
        <v>187213</v>
      </c>
      <c r="L169" s="17" t="n">
        <v>7788</v>
      </c>
      <c r="M169" s="18">
        <f>L169/K169</f>
        <v/>
      </c>
      <c r="N169" s="17" t="n">
        <v>375</v>
      </c>
      <c r="O169" s="18" t="n">
        <v>0.4712</v>
      </c>
      <c r="P169" s="17" t="n">
        <v>16800000</v>
      </c>
      <c r="Q169" s="17" t="n">
        <v>41400000</v>
      </c>
      <c r="R169" s="17">
        <f>Q169-P169</f>
        <v/>
      </c>
      <c r="S169" s="18">
        <f>(Q169-P169)/P169</f>
        <v/>
      </c>
      <c r="T169" s="14">
        <f>IF(AND(K169&gt;=50000, S169&gt;=0.35), "Vượt KPI", IF(AND(K169&gt;=20000, S169&gt;=0), "Đạt KPI", "Chưa đạt KPI"))</f>
        <v/>
      </c>
    </row>
    <row r="170">
      <c r="A170" s="10" t="inlineStr">
        <is>
          <t>SP-0167</t>
        </is>
      </c>
      <c r="B170" s="11" t="n">
        <v>46146</v>
      </c>
      <c r="C170" s="10" t="inlineStr">
        <is>
          <t>Tháng 05/2026</t>
        </is>
      </c>
      <c r="D170" s="10" t="inlineStr">
        <is>
          <t>Quý 2</t>
        </is>
      </c>
      <c r="E170" s="5" t="inlineStr">
        <is>
          <t>Ban Phóng sự - Điều tra</t>
        </is>
      </c>
      <c r="F170" s="5" t="inlineStr">
        <is>
          <t>Nhóm Hải Đăng</t>
        </is>
      </c>
      <c r="G170" s="5" t="inlineStr">
        <is>
          <t>YouTube</t>
        </is>
      </c>
      <c r="H170" s="5" t="inlineStr">
        <is>
          <t>YouTube Documentary (&gt;25p)</t>
        </is>
      </c>
      <c r="I170" s="5" t="inlineStr">
        <is>
          <t>Chính sách &amp; Pháp luật</t>
        </is>
      </c>
      <c r="J170" s="5" t="inlineStr">
        <is>
          <t>Toàn trình (70%)</t>
        </is>
      </c>
      <c r="K170" s="12" t="n">
        <v>733400</v>
      </c>
      <c r="L170" s="12" t="n">
        <v>63365</v>
      </c>
      <c r="M170" s="13">
        <f>L170/K170</f>
        <v/>
      </c>
      <c r="N170" s="12" t="n">
        <v>185</v>
      </c>
      <c r="O170" s="13" t="n">
        <v>0.499</v>
      </c>
      <c r="P170" s="12" t="n">
        <v>12800000</v>
      </c>
      <c r="Q170" s="12" t="n">
        <v>37150000</v>
      </c>
      <c r="R170" s="12">
        <f>Q170-P170</f>
        <v/>
      </c>
      <c r="S170" s="13">
        <f>(Q170-P170)/P170</f>
        <v/>
      </c>
      <c r="T170" s="10">
        <f>IF(AND(K170&gt;=50000, S170&gt;=0.35), "Vượt KPI", IF(AND(K170&gt;=20000, S170&gt;=0), "Đạt KPI", "Chưa đạt KPI"))</f>
        <v/>
      </c>
    </row>
    <row r="171">
      <c r="A171" s="14" t="inlineStr">
        <is>
          <t>SP-0168</t>
        </is>
      </c>
      <c r="B171" s="15" t="n">
        <v>46036</v>
      </c>
      <c r="C171" s="14" t="inlineStr">
        <is>
          <t>Tháng 01/2026</t>
        </is>
      </c>
      <c r="D171" s="14" t="inlineStr">
        <is>
          <t>Quý 1</t>
        </is>
      </c>
      <c r="E171" s="16" t="inlineStr">
        <is>
          <t>Ban Đời sống - Giới trẻ</t>
        </is>
      </c>
      <c r="F171" s="16" t="inlineStr">
        <is>
          <t>Nhóm Duy Khánh</t>
        </is>
      </c>
      <c r="G171" s="16" t="inlineStr">
        <is>
          <t>TikTok</t>
        </is>
      </c>
      <c r="H171" s="16" t="inlineStr">
        <is>
          <t>TikTok Reel (1-3p)</t>
        </is>
      </c>
      <c r="I171" s="16" t="inlineStr">
        <is>
          <t>Chính sách &amp; Pháp luật</t>
        </is>
      </c>
      <c r="J171" s="16" t="inlineStr">
        <is>
          <t>Hỗ trợ sâu (40%)</t>
        </is>
      </c>
      <c r="K171" s="17" t="n">
        <v>379887</v>
      </c>
      <c r="L171" s="17" t="n">
        <v>47219</v>
      </c>
      <c r="M171" s="18">
        <f>L171/K171</f>
        <v/>
      </c>
      <c r="N171" s="17" t="n">
        <v>55</v>
      </c>
      <c r="O171" s="18" t="n">
        <v>0.6331</v>
      </c>
      <c r="P171" s="17" t="n">
        <v>1100000</v>
      </c>
      <c r="Q171" s="17" t="n">
        <v>1800000</v>
      </c>
      <c r="R171" s="17">
        <f>Q171-P171</f>
        <v/>
      </c>
      <c r="S171" s="18">
        <f>(Q171-P171)/P171</f>
        <v/>
      </c>
      <c r="T171" s="14">
        <f>IF(AND(K171&gt;=50000, S171&gt;=0.35), "Vượt KPI", IF(AND(K171&gt;=20000, S171&gt;=0), "Đạt KPI", "Chưa đạt KPI"))</f>
        <v/>
      </c>
    </row>
    <row r="172">
      <c r="A172" s="10" t="inlineStr">
        <is>
          <t>SP-0169</t>
        </is>
      </c>
      <c r="B172" s="11" t="n">
        <v>46150</v>
      </c>
      <c r="C172" s="10" t="inlineStr">
        <is>
          <t>Tháng 05/2026</t>
        </is>
      </c>
      <c r="D172" s="10" t="inlineStr">
        <is>
          <t>Quý 2</t>
        </is>
      </c>
      <c r="E172" s="5" t="inlineStr">
        <is>
          <t>Ban Phóng sự - Điều tra</t>
        </is>
      </c>
      <c r="F172" s="5" t="inlineStr">
        <is>
          <t>Nhóm Hải Đăng</t>
        </is>
      </c>
      <c r="G172" s="5" t="inlineStr">
        <is>
          <t>YouTube</t>
        </is>
      </c>
      <c r="H172" s="5" t="inlineStr">
        <is>
          <t>YouTube Long-form (10-25p)</t>
        </is>
      </c>
      <c r="I172" s="5" t="inlineStr">
        <is>
          <t>Phóng sự Điều tra</t>
        </is>
      </c>
      <c r="J172" s="5" t="inlineStr">
        <is>
          <t>Thủ công (0%)</t>
        </is>
      </c>
      <c r="K172" s="12" t="n">
        <v>854925</v>
      </c>
      <c r="L172" s="12" t="n">
        <v>34880</v>
      </c>
      <c r="M172" s="13">
        <f>L172/K172</f>
        <v/>
      </c>
      <c r="N172" s="12" t="n">
        <v>114</v>
      </c>
      <c r="O172" s="13" t="n">
        <v>0.6499</v>
      </c>
      <c r="P172" s="12" t="n">
        <v>7050000</v>
      </c>
      <c r="Q172" s="12" t="n">
        <v>25350000</v>
      </c>
      <c r="R172" s="12">
        <f>Q172-P172</f>
        <v/>
      </c>
      <c r="S172" s="13">
        <f>(Q172-P172)/P172</f>
        <v/>
      </c>
      <c r="T172" s="10">
        <f>IF(AND(K172&gt;=50000, S172&gt;=0.35), "Vượt KPI", IF(AND(K172&gt;=20000, S172&gt;=0), "Đạt KPI", "Chưa đạt KPI"))</f>
        <v/>
      </c>
    </row>
    <row r="173">
      <c r="A173" s="14" t="inlineStr">
        <is>
          <t>SP-0170</t>
        </is>
      </c>
      <c r="B173" s="15" t="n">
        <v>46069</v>
      </c>
      <c r="C173" s="14" t="inlineStr">
        <is>
          <t>Tháng 02/2026</t>
        </is>
      </c>
      <c r="D173" s="14" t="inlineStr">
        <is>
          <t>Quý 1</t>
        </is>
      </c>
      <c r="E173" s="16" t="inlineStr">
        <is>
          <t>Ban Công nghệ &amp; AI</t>
        </is>
      </c>
      <c r="F173" s="16" t="inlineStr">
        <is>
          <t>Nhóm Tuấn Kiệt</t>
        </is>
      </c>
      <c r="G173" s="16" t="inlineStr">
        <is>
          <t>Facebook Page</t>
        </is>
      </c>
      <c r="H173" s="16" t="inlineStr">
        <is>
          <t>Video Bản tin (3-5p)</t>
        </is>
      </c>
      <c r="I173" s="16" t="inlineStr">
        <is>
          <t>Kinh tế - Thị trường</t>
        </is>
      </c>
      <c r="J173" s="16" t="inlineStr">
        <is>
          <t>Toàn trình (70%)</t>
        </is>
      </c>
      <c r="K173" s="17" t="n">
        <v>318682</v>
      </c>
      <c r="L173" s="17" t="n">
        <v>21893</v>
      </c>
      <c r="M173" s="18">
        <f>L173/K173</f>
        <v/>
      </c>
      <c r="N173" s="17" t="n">
        <v>120</v>
      </c>
      <c r="O173" s="18" t="n">
        <v>0.5253</v>
      </c>
      <c r="P173" s="17" t="n">
        <v>1050000</v>
      </c>
      <c r="Q173" s="17" t="n">
        <v>2750000</v>
      </c>
      <c r="R173" s="17">
        <f>Q173-P173</f>
        <v/>
      </c>
      <c r="S173" s="18">
        <f>(Q173-P173)/P173</f>
        <v/>
      </c>
      <c r="T173" s="14">
        <f>IF(AND(K173&gt;=50000, S173&gt;=0.35), "Vượt KPI", IF(AND(K173&gt;=20000, S173&gt;=0), "Đạt KPI", "Chưa đạt KPI"))</f>
        <v/>
      </c>
    </row>
    <row r="174">
      <c r="A174" s="10" t="inlineStr">
        <is>
          <t>SP-0171</t>
        </is>
      </c>
      <c r="B174" s="11" t="n">
        <v>46039</v>
      </c>
      <c r="C174" s="10" t="inlineStr">
        <is>
          <t>Tháng 01/2026</t>
        </is>
      </c>
      <c r="D174" s="10" t="inlineStr">
        <is>
          <t>Quý 1</t>
        </is>
      </c>
      <c r="E174" s="5" t="inlineStr">
        <is>
          <t>Ban Đời sống - Giới trẻ</t>
        </is>
      </c>
      <c r="F174" s="5" t="inlineStr">
        <is>
          <t>Nhóm Bảo Ngọc</t>
        </is>
      </c>
      <c r="G174" s="5" t="inlineStr">
        <is>
          <t>TikTok</t>
        </is>
      </c>
      <c r="H174" s="5" t="inlineStr">
        <is>
          <t>Short Video (&lt;60s)</t>
        </is>
      </c>
      <c r="I174" s="5" t="inlineStr">
        <is>
          <t>Giáo dục &amp; Tuyển sinh</t>
        </is>
      </c>
      <c r="J174" s="5" t="inlineStr">
        <is>
          <t>Cơ bản (15%)</t>
        </is>
      </c>
      <c r="K174" s="12" t="n">
        <v>83612</v>
      </c>
      <c r="L174" s="12" t="n">
        <v>8821</v>
      </c>
      <c r="M174" s="13">
        <f>L174/K174</f>
        <v/>
      </c>
      <c r="N174" s="12" t="n">
        <v>45</v>
      </c>
      <c r="O174" s="13" t="n">
        <v>0.6398</v>
      </c>
      <c r="P174" s="12" t="n">
        <v>2950000</v>
      </c>
      <c r="Q174" s="12" t="n">
        <v>10050000</v>
      </c>
      <c r="R174" s="12">
        <f>Q174-P174</f>
        <v/>
      </c>
      <c r="S174" s="13">
        <f>(Q174-P174)/P174</f>
        <v/>
      </c>
      <c r="T174" s="10">
        <f>IF(AND(K174&gt;=50000, S174&gt;=0.35), "Vượt KPI", IF(AND(K174&gt;=20000, S174&gt;=0), "Đạt KPI", "Chưa đạt KPI"))</f>
        <v/>
      </c>
    </row>
    <row r="175">
      <c r="A175" s="14" t="inlineStr">
        <is>
          <t>SP-0172</t>
        </is>
      </c>
      <c r="B175" s="15" t="n">
        <v>46102</v>
      </c>
      <c r="C175" s="14" t="inlineStr">
        <is>
          <t>Tháng 03/2026</t>
        </is>
      </c>
      <c r="D175" s="14" t="inlineStr">
        <is>
          <t>Quý 1</t>
        </is>
      </c>
      <c r="E175" s="16" t="inlineStr">
        <is>
          <t>Ban Kinh tế - Tài chính</t>
        </is>
      </c>
      <c r="F175" s="16" t="inlineStr">
        <is>
          <t>Nhóm Đức Thịnh</t>
        </is>
      </c>
      <c r="G175" s="16" t="inlineStr">
        <is>
          <t>Podcast / Audio</t>
        </is>
      </c>
      <c r="H175" s="16" t="inlineStr">
        <is>
          <t>Điểm tin Audio AI (5p)</t>
        </is>
      </c>
      <c r="I175" s="16" t="inlineStr">
        <is>
          <t>Tài chính Cá nhân &amp; Đầu tư</t>
        </is>
      </c>
      <c r="J175" s="16" t="inlineStr">
        <is>
          <t>Toàn trình (70%)</t>
        </is>
      </c>
      <c r="K175" s="17" t="n">
        <v>17924</v>
      </c>
      <c r="L175" s="17" t="n">
        <v>1046</v>
      </c>
      <c r="M175" s="18">
        <f>L175/K175</f>
        <v/>
      </c>
      <c r="N175" s="17" t="n">
        <v>702</v>
      </c>
      <c r="O175" s="18" t="n">
        <v>0.733</v>
      </c>
      <c r="P175" s="17" t="n">
        <v>500000</v>
      </c>
      <c r="Q175" s="17" t="n">
        <v>400000</v>
      </c>
      <c r="R175" s="17">
        <f>Q175-P175</f>
        <v/>
      </c>
      <c r="S175" s="18">
        <f>(Q175-P175)/P175</f>
        <v/>
      </c>
      <c r="T175" s="14">
        <f>IF(AND(K175&gt;=50000, S175&gt;=0.35), "Vượt KPI", IF(AND(K175&gt;=20000, S175&gt;=0), "Đạt KPI", "Chưa đạt KPI"))</f>
        <v/>
      </c>
    </row>
    <row r="176">
      <c r="A176" s="10" t="inlineStr">
        <is>
          <t>SP-0173</t>
        </is>
      </c>
      <c r="B176" s="11" t="n">
        <v>46087</v>
      </c>
      <c r="C176" s="10" t="inlineStr">
        <is>
          <t>Tháng 03/2026</t>
        </is>
      </c>
      <c r="D176" s="10" t="inlineStr">
        <is>
          <t>Quý 1</t>
        </is>
      </c>
      <c r="E176" s="5" t="inlineStr">
        <is>
          <t>Ban Phóng sự - Điều tra</t>
        </is>
      </c>
      <c r="F176" s="5" t="inlineStr">
        <is>
          <t>Nhóm Hải Đăng</t>
        </is>
      </c>
      <c r="G176" s="5" t="inlineStr">
        <is>
          <t>YouTube</t>
        </is>
      </c>
      <c r="H176" s="5" t="inlineStr">
        <is>
          <t>YouTube Documentary (&gt;25p)</t>
        </is>
      </c>
      <c r="I176" s="5" t="inlineStr">
        <is>
          <t>Đời sống - Xã hội</t>
        </is>
      </c>
      <c r="J176" s="5" t="inlineStr">
        <is>
          <t>Cơ bản (15%)</t>
        </is>
      </c>
      <c r="K176" s="12" t="n">
        <v>313023</v>
      </c>
      <c r="L176" s="12" t="n">
        <v>16652</v>
      </c>
      <c r="M176" s="13">
        <f>L176/K176</f>
        <v/>
      </c>
      <c r="N176" s="12" t="n">
        <v>398</v>
      </c>
      <c r="O176" s="13" t="n">
        <v>0.6992</v>
      </c>
      <c r="P176" s="12" t="n">
        <v>15050000</v>
      </c>
      <c r="Q176" s="12" t="n">
        <v>47150000</v>
      </c>
      <c r="R176" s="12">
        <f>Q176-P176</f>
        <v/>
      </c>
      <c r="S176" s="13">
        <f>(Q176-P176)/P176</f>
        <v/>
      </c>
      <c r="T176" s="10">
        <f>IF(AND(K176&gt;=50000, S176&gt;=0.35), "Vượt KPI", IF(AND(K176&gt;=20000, S176&gt;=0), "Đạt KPI", "Chưa đạt KPI"))</f>
        <v/>
      </c>
    </row>
    <row r="177">
      <c r="A177" s="14" t="inlineStr">
        <is>
          <t>SP-0174</t>
        </is>
      </c>
      <c r="B177" s="15" t="n">
        <v>46099</v>
      </c>
      <c r="C177" s="14" t="inlineStr">
        <is>
          <t>Tháng 03/2026</t>
        </is>
      </c>
      <c r="D177" s="14" t="inlineStr">
        <is>
          <t>Quý 1</t>
        </is>
      </c>
      <c r="E177" s="16" t="inlineStr">
        <is>
          <t>Ban Công nghệ &amp; AI</t>
        </is>
      </c>
      <c r="F177" s="16" t="inlineStr">
        <is>
          <t>Nhóm Tuấn Kiệt</t>
        </is>
      </c>
      <c r="G177" s="16" t="inlineStr">
        <is>
          <t>Báo Điện tử (Web)</t>
        </is>
      </c>
      <c r="H177" s="16" t="inlineStr">
        <is>
          <t>Tin bài Đa phương tiện</t>
        </is>
      </c>
      <c r="I177" s="16" t="inlineStr">
        <is>
          <t>Kinh tế - Thị trường</t>
        </is>
      </c>
      <c r="J177" s="16" t="inlineStr">
        <is>
          <t>Thủ công (0%)</t>
        </is>
      </c>
      <c r="K177" s="17" t="n">
        <v>49784</v>
      </c>
      <c r="L177" s="17" t="n">
        <v>4151</v>
      </c>
      <c r="M177" s="18">
        <f>L177/K177</f>
        <v/>
      </c>
      <c r="N177" s="17" t="n">
        <v>118</v>
      </c>
      <c r="O177" s="18" t="n">
        <v>0.5810999999999999</v>
      </c>
      <c r="P177" s="17" t="n">
        <v>6050000</v>
      </c>
      <c r="Q177" s="17" t="n">
        <v>32350000</v>
      </c>
      <c r="R177" s="17">
        <f>Q177-P177</f>
        <v/>
      </c>
      <c r="S177" s="18">
        <f>(Q177-P177)/P177</f>
        <v/>
      </c>
      <c r="T177" s="14">
        <f>IF(AND(K177&gt;=50000, S177&gt;=0.35), "Vượt KPI", IF(AND(K177&gt;=20000, S177&gt;=0), "Đạt KPI", "Chưa đạt KPI"))</f>
        <v/>
      </c>
    </row>
    <row r="178">
      <c r="A178" s="10" t="inlineStr">
        <is>
          <t>SP-0175</t>
        </is>
      </c>
      <c r="B178" s="11" t="n">
        <v>46094</v>
      </c>
      <c r="C178" s="10" t="inlineStr">
        <is>
          <t>Tháng 03/2026</t>
        </is>
      </c>
      <c r="D178" s="10" t="inlineStr">
        <is>
          <t>Quý 1</t>
        </is>
      </c>
      <c r="E178" s="5" t="inlineStr">
        <is>
          <t>Ban Thời sự - Chính trị</t>
        </is>
      </c>
      <c r="F178" s="5" t="inlineStr">
        <is>
          <t>Nhóm Quang Huy</t>
        </is>
      </c>
      <c r="G178" s="5" t="inlineStr">
        <is>
          <t>YouTube</t>
        </is>
      </c>
      <c r="H178" s="5" t="inlineStr">
        <is>
          <t>YouTube Shorts</t>
        </is>
      </c>
      <c r="I178" s="5" t="inlineStr">
        <is>
          <t>Tài chính Cá nhân &amp; Đầu tư</t>
        </is>
      </c>
      <c r="J178" s="5" t="inlineStr">
        <is>
          <t>Cơ bản (15%)</t>
        </is>
      </c>
      <c r="K178" s="12" t="n">
        <v>49180</v>
      </c>
      <c r="L178" s="12" t="n">
        <v>2685</v>
      </c>
      <c r="M178" s="13">
        <f>L178/K178</f>
        <v/>
      </c>
      <c r="N178" s="12" t="n">
        <v>752</v>
      </c>
      <c r="O178" s="13" t="n">
        <v>0.5405</v>
      </c>
      <c r="P178" s="12" t="n">
        <v>11500000</v>
      </c>
      <c r="Q178" s="12" t="n">
        <v>67400000</v>
      </c>
      <c r="R178" s="12">
        <f>Q178-P178</f>
        <v/>
      </c>
      <c r="S178" s="13">
        <f>(Q178-P178)/P178</f>
        <v/>
      </c>
      <c r="T178" s="10">
        <f>IF(AND(K178&gt;=50000, S178&gt;=0.35), "Vượt KPI", IF(AND(K178&gt;=20000, S178&gt;=0), "Đạt KPI", "Chưa đạt KPI"))</f>
        <v/>
      </c>
    </row>
    <row r="179">
      <c r="A179" s="14" t="inlineStr">
        <is>
          <t>SP-0176</t>
        </is>
      </c>
      <c r="B179" s="15" t="n">
        <v>46130</v>
      </c>
      <c r="C179" s="14" t="inlineStr">
        <is>
          <t>Tháng 04/2026</t>
        </is>
      </c>
      <c r="D179" s="14" t="inlineStr">
        <is>
          <t>Quý 2</t>
        </is>
      </c>
      <c r="E179" s="16" t="inlineStr">
        <is>
          <t>Ban Thời sự - Chính trị</t>
        </is>
      </c>
      <c r="F179" s="16" t="inlineStr">
        <is>
          <t>Nhóm Thanh Tâm</t>
        </is>
      </c>
      <c r="G179" s="16" t="inlineStr">
        <is>
          <t>Facebook Page</t>
        </is>
      </c>
      <c r="H179" s="16" t="inlineStr">
        <is>
          <t>Photo Story / Carousel</t>
        </is>
      </c>
      <c r="I179" s="16" t="inlineStr">
        <is>
          <t>Chính sách &amp; Pháp luật</t>
        </is>
      </c>
      <c r="J179" s="16" t="inlineStr">
        <is>
          <t>Thủ công (0%)</t>
        </is>
      </c>
      <c r="K179" s="17" t="n">
        <v>427968</v>
      </c>
      <c r="L179" s="17" t="n">
        <v>18916</v>
      </c>
      <c r="M179" s="18">
        <f>L179/K179</f>
        <v/>
      </c>
      <c r="N179" s="17" t="n">
        <v>123</v>
      </c>
      <c r="O179" s="18" t="n">
        <v>0.6353</v>
      </c>
      <c r="P179" s="17" t="n">
        <v>5150000</v>
      </c>
      <c r="Q179" s="17" t="n">
        <v>10400000</v>
      </c>
      <c r="R179" s="17">
        <f>Q179-P179</f>
        <v/>
      </c>
      <c r="S179" s="18">
        <f>(Q179-P179)/P179</f>
        <v/>
      </c>
      <c r="T179" s="14">
        <f>IF(AND(K179&gt;=50000, S179&gt;=0.35), "Vượt KPI", IF(AND(K179&gt;=20000, S179&gt;=0), "Đạt KPI", "Chưa đạt KPI"))</f>
        <v/>
      </c>
    </row>
    <row r="180">
      <c r="A180" s="10" t="inlineStr">
        <is>
          <t>SP-0177</t>
        </is>
      </c>
      <c r="B180" s="11" t="n">
        <v>46185</v>
      </c>
      <c r="C180" s="10" t="inlineStr">
        <is>
          <t>Tháng 06/2026</t>
        </is>
      </c>
      <c r="D180" s="10" t="inlineStr">
        <is>
          <t>Quý 2</t>
        </is>
      </c>
      <c r="E180" s="5" t="inlineStr">
        <is>
          <t>Ban Thời sự - Chính trị</t>
        </is>
      </c>
      <c r="F180" s="5" t="inlineStr">
        <is>
          <t>Nhóm Quang Huy</t>
        </is>
      </c>
      <c r="G180" s="5" t="inlineStr">
        <is>
          <t>Báo Điện tử (Web)</t>
        </is>
      </c>
      <c r="H180" s="5" t="inlineStr">
        <is>
          <t>Longform / E-magazine</t>
        </is>
      </c>
      <c r="I180" s="5" t="inlineStr">
        <is>
          <t>Công nghệ &amp; AI</t>
        </is>
      </c>
      <c r="J180" s="5" t="inlineStr">
        <is>
          <t>Hỗ trợ sâu (40%)</t>
        </is>
      </c>
      <c r="K180" s="12" t="n">
        <v>83545</v>
      </c>
      <c r="L180" s="12" t="n">
        <v>7377</v>
      </c>
      <c r="M180" s="13">
        <f>L180/K180</f>
        <v/>
      </c>
      <c r="N180" s="12" t="n">
        <v>145</v>
      </c>
      <c r="O180" s="13" t="n">
        <v>0.496</v>
      </c>
      <c r="P180" s="12" t="n">
        <v>3750000</v>
      </c>
      <c r="Q180" s="12" t="n">
        <v>10650000</v>
      </c>
      <c r="R180" s="12">
        <f>Q180-P180</f>
        <v/>
      </c>
      <c r="S180" s="13">
        <f>(Q180-P180)/P180</f>
        <v/>
      </c>
      <c r="T180" s="10">
        <f>IF(AND(K180&gt;=50000, S180&gt;=0.35), "Vượt KPI", IF(AND(K180&gt;=20000, S180&gt;=0), "Đạt KPI", "Chưa đạt KPI"))</f>
        <v/>
      </c>
    </row>
    <row r="181">
      <c r="A181" s="14" t="inlineStr">
        <is>
          <t>SP-0178</t>
        </is>
      </c>
      <c r="B181" s="15" t="n">
        <v>46048</v>
      </c>
      <c r="C181" s="14" t="inlineStr">
        <is>
          <t>Tháng 01/2026</t>
        </is>
      </c>
      <c r="D181" s="14" t="inlineStr">
        <is>
          <t>Quý 1</t>
        </is>
      </c>
      <c r="E181" s="16" t="inlineStr">
        <is>
          <t>Ban Phóng sự - Điều tra</t>
        </is>
      </c>
      <c r="F181" s="16" t="inlineStr">
        <is>
          <t>Nhóm Khánh Linh</t>
        </is>
      </c>
      <c r="G181" s="16" t="inlineStr">
        <is>
          <t>Facebook Page</t>
        </is>
      </c>
      <c r="H181" s="16" t="inlineStr">
        <is>
          <t>Photo Story / Carousel</t>
        </is>
      </c>
      <c r="I181" s="16" t="inlineStr">
        <is>
          <t>Phóng sự Điều tra</t>
        </is>
      </c>
      <c r="J181" s="16" t="inlineStr">
        <is>
          <t>Hỗ trợ sâu (40%)</t>
        </is>
      </c>
      <c r="K181" s="17" t="n">
        <v>36124</v>
      </c>
      <c r="L181" s="17" t="n">
        <v>3323</v>
      </c>
      <c r="M181" s="18">
        <f>L181/K181</f>
        <v/>
      </c>
      <c r="N181" s="17" t="n">
        <v>123</v>
      </c>
      <c r="O181" s="18" t="n">
        <v>0.594</v>
      </c>
      <c r="P181" s="17" t="n">
        <v>3700000</v>
      </c>
      <c r="Q181" s="17" t="n">
        <v>11350000</v>
      </c>
      <c r="R181" s="17">
        <f>Q181-P181</f>
        <v/>
      </c>
      <c r="S181" s="18">
        <f>(Q181-P181)/P181</f>
        <v/>
      </c>
      <c r="T181" s="14">
        <f>IF(AND(K181&gt;=50000, S181&gt;=0.35), "Vượt KPI", IF(AND(K181&gt;=20000, S181&gt;=0), "Đạt KPI", "Chưa đạt KPI"))</f>
        <v/>
      </c>
    </row>
    <row r="182">
      <c r="A182" s="10" t="inlineStr">
        <is>
          <t>SP-0179</t>
        </is>
      </c>
      <c r="B182" s="11" t="n">
        <v>46178</v>
      </c>
      <c r="C182" s="10" t="inlineStr">
        <is>
          <t>Tháng 06/2026</t>
        </is>
      </c>
      <c r="D182" s="10" t="inlineStr">
        <is>
          <t>Quý 2</t>
        </is>
      </c>
      <c r="E182" s="5" t="inlineStr">
        <is>
          <t>Ban Phóng sự - Điều tra</t>
        </is>
      </c>
      <c r="F182" s="5" t="inlineStr">
        <is>
          <t>Nhóm Hải Đăng</t>
        </is>
      </c>
      <c r="G182" s="5" t="inlineStr">
        <is>
          <t>TikTok</t>
        </is>
      </c>
      <c r="H182" s="5" t="inlineStr">
        <is>
          <t>Short Video (&lt;60s)</t>
        </is>
      </c>
      <c r="I182" s="5" t="inlineStr">
        <is>
          <t>Phóng sự Điều tra</t>
        </is>
      </c>
      <c r="J182" s="5" t="inlineStr">
        <is>
          <t>Cơ bản (15%)</t>
        </is>
      </c>
      <c r="K182" s="12" t="n">
        <v>1012258</v>
      </c>
      <c r="L182" s="12" t="n">
        <v>90293</v>
      </c>
      <c r="M182" s="13">
        <f>L182/K182</f>
        <v/>
      </c>
      <c r="N182" s="12" t="n">
        <v>56</v>
      </c>
      <c r="O182" s="13" t="n">
        <v>0.518</v>
      </c>
      <c r="P182" s="12" t="n">
        <v>2200000</v>
      </c>
      <c r="Q182" s="12" t="n">
        <v>5800000</v>
      </c>
      <c r="R182" s="12">
        <f>Q182-P182</f>
        <v/>
      </c>
      <c r="S182" s="13">
        <f>(Q182-P182)/P182</f>
        <v/>
      </c>
      <c r="T182" s="10">
        <f>IF(AND(K182&gt;=50000, S182&gt;=0.35), "Vượt KPI", IF(AND(K182&gt;=20000, S182&gt;=0), "Đạt KPI", "Chưa đạt KPI"))</f>
        <v/>
      </c>
    </row>
    <row r="183">
      <c r="A183" s="14" t="inlineStr">
        <is>
          <t>SP-0180</t>
        </is>
      </c>
      <c r="B183" s="15" t="n">
        <v>46044</v>
      </c>
      <c r="C183" s="14" t="inlineStr">
        <is>
          <t>Tháng 01/2026</t>
        </is>
      </c>
      <c r="D183" s="14" t="inlineStr">
        <is>
          <t>Quý 1</t>
        </is>
      </c>
      <c r="E183" s="16" t="inlineStr">
        <is>
          <t>Ban Đời sống - Giới trẻ</t>
        </is>
      </c>
      <c r="F183" s="16" t="inlineStr">
        <is>
          <t>Nhóm Duy Khánh</t>
        </is>
      </c>
      <c r="G183" s="16" t="inlineStr">
        <is>
          <t>Facebook Page</t>
        </is>
      </c>
      <c r="H183" s="16" t="inlineStr">
        <is>
          <t>Video Bản tin (3-5p)</t>
        </is>
      </c>
      <c r="I183" s="16" t="inlineStr">
        <is>
          <t>Tài chính Cá nhân &amp; Đầu tư</t>
        </is>
      </c>
      <c r="J183" s="16" t="inlineStr">
        <is>
          <t>Hỗ trợ sâu (40%)</t>
        </is>
      </c>
      <c r="K183" s="17" t="n">
        <v>61306</v>
      </c>
      <c r="L183" s="17" t="n">
        <v>5744</v>
      </c>
      <c r="M183" s="18">
        <f>L183/K183</f>
        <v/>
      </c>
      <c r="N183" s="17" t="n">
        <v>81</v>
      </c>
      <c r="O183" s="18" t="n">
        <v>0.3566</v>
      </c>
      <c r="P183" s="17" t="n">
        <v>1400000</v>
      </c>
      <c r="Q183" s="17" t="n">
        <v>3000000</v>
      </c>
      <c r="R183" s="17">
        <f>Q183-P183</f>
        <v/>
      </c>
      <c r="S183" s="18">
        <f>(Q183-P183)/P183</f>
        <v/>
      </c>
      <c r="T183" s="14">
        <f>IF(AND(K183&gt;=50000, S183&gt;=0.35), "Vượt KPI", IF(AND(K183&gt;=20000, S183&gt;=0), "Đạt KPI", "Chưa đạt KPI"))</f>
        <v/>
      </c>
    </row>
    <row r="184">
      <c r="A184" s="10" t="inlineStr">
        <is>
          <t>SP-0181</t>
        </is>
      </c>
      <c r="B184" s="11" t="n">
        <v>46192</v>
      </c>
      <c r="C184" s="10" t="inlineStr">
        <is>
          <t>Tháng 06/2026</t>
        </is>
      </c>
      <c r="D184" s="10" t="inlineStr">
        <is>
          <t>Quý 2</t>
        </is>
      </c>
      <c r="E184" s="5" t="inlineStr">
        <is>
          <t>Ban Phóng sự - Điều tra</t>
        </is>
      </c>
      <c r="F184" s="5" t="inlineStr">
        <is>
          <t>Nhóm Khánh Linh</t>
        </is>
      </c>
      <c r="G184" s="5" t="inlineStr">
        <is>
          <t>Facebook Page</t>
        </is>
      </c>
      <c r="H184" s="5" t="inlineStr">
        <is>
          <t>Video Bản tin (3-5p)</t>
        </is>
      </c>
      <c r="I184" s="5" t="inlineStr">
        <is>
          <t>Phóng sự Điều tra</t>
        </is>
      </c>
      <c r="J184" s="5" t="inlineStr">
        <is>
          <t>Hỗ trợ sâu (40%)</t>
        </is>
      </c>
      <c r="K184" s="12" t="n">
        <v>358464</v>
      </c>
      <c r="L184" s="12" t="n">
        <v>29143</v>
      </c>
      <c r="M184" s="13">
        <f>L184/K184</f>
        <v/>
      </c>
      <c r="N184" s="12" t="n">
        <v>50</v>
      </c>
      <c r="O184" s="13" t="n">
        <v>0.3818</v>
      </c>
      <c r="P184" s="12" t="n">
        <v>4500000</v>
      </c>
      <c r="Q184" s="12" t="n">
        <v>9100000</v>
      </c>
      <c r="R184" s="12">
        <f>Q184-P184</f>
        <v/>
      </c>
      <c r="S184" s="13">
        <f>(Q184-P184)/P184</f>
        <v/>
      </c>
      <c r="T184" s="10">
        <f>IF(AND(K184&gt;=50000, S184&gt;=0.35), "Vượt KPI", IF(AND(K184&gt;=20000, S184&gt;=0), "Đạt KPI", "Chưa đạt KPI"))</f>
        <v/>
      </c>
    </row>
    <row r="185">
      <c r="A185" s="14" t="inlineStr">
        <is>
          <t>SP-0182</t>
        </is>
      </c>
      <c r="B185" s="15" t="n">
        <v>46098</v>
      </c>
      <c r="C185" s="14" t="inlineStr">
        <is>
          <t>Tháng 03/2026</t>
        </is>
      </c>
      <c r="D185" s="14" t="inlineStr">
        <is>
          <t>Quý 1</t>
        </is>
      </c>
      <c r="E185" s="16" t="inlineStr">
        <is>
          <t>Ban Video &amp; Truyền hình số</t>
        </is>
      </c>
      <c r="F185" s="16" t="inlineStr">
        <is>
          <t>Nhóm Quốc Bảo</t>
        </is>
      </c>
      <c r="G185" s="16" t="inlineStr">
        <is>
          <t>Podcast / Audio</t>
        </is>
      </c>
      <c r="H185" s="16" t="inlineStr">
        <is>
          <t>Podcast Chuyên sâu (20p)</t>
        </is>
      </c>
      <c r="I185" s="16" t="inlineStr">
        <is>
          <t>Phóng sự Điều tra</t>
        </is>
      </c>
      <c r="J185" s="16" t="inlineStr">
        <is>
          <t>Hỗ trợ sâu (40%)</t>
        </is>
      </c>
      <c r="K185" s="17" t="n">
        <v>23321</v>
      </c>
      <c r="L185" s="17" t="n">
        <v>914</v>
      </c>
      <c r="M185" s="18">
        <f>L185/K185</f>
        <v/>
      </c>
      <c r="N185" s="17" t="n">
        <v>380</v>
      </c>
      <c r="O185" s="18" t="n">
        <v>0.4258</v>
      </c>
      <c r="P185" s="17" t="n">
        <v>2000000</v>
      </c>
      <c r="Q185" s="17" t="n">
        <v>4900000</v>
      </c>
      <c r="R185" s="17">
        <f>Q185-P185</f>
        <v/>
      </c>
      <c r="S185" s="18">
        <f>(Q185-P185)/P185</f>
        <v/>
      </c>
      <c r="T185" s="14">
        <f>IF(AND(K185&gt;=50000, S185&gt;=0.35), "Vượt KPI", IF(AND(K185&gt;=20000, S185&gt;=0), "Đạt KPI", "Chưa đạt KPI"))</f>
        <v/>
      </c>
    </row>
    <row r="186">
      <c r="A186" s="10" t="inlineStr">
        <is>
          <t>SP-0183</t>
        </is>
      </c>
      <c r="B186" s="11" t="n">
        <v>46024</v>
      </c>
      <c r="C186" s="10" t="inlineStr">
        <is>
          <t>Tháng 01/2026</t>
        </is>
      </c>
      <c r="D186" s="10" t="inlineStr">
        <is>
          <t>Quý 1</t>
        </is>
      </c>
      <c r="E186" s="5" t="inlineStr">
        <is>
          <t>Ban Thời sự - Chính trị</t>
        </is>
      </c>
      <c r="F186" s="5" t="inlineStr">
        <is>
          <t>Nhóm Việt Anh</t>
        </is>
      </c>
      <c r="G186" s="5" t="inlineStr">
        <is>
          <t>Báo Điện tử (Web)</t>
        </is>
      </c>
      <c r="H186" s="5" t="inlineStr">
        <is>
          <t>Tin bài Đa phương tiện</t>
        </is>
      </c>
      <c r="I186" s="5" t="inlineStr">
        <is>
          <t>Giáo dục &amp; Tuyển sinh</t>
        </is>
      </c>
      <c r="J186" s="5" t="inlineStr">
        <is>
          <t>Cơ bản (15%)</t>
        </is>
      </c>
      <c r="K186" s="12" t="n">
        <v>110580</v>
      </c>
      <c r="L186" s="12" t="n">
        <v>5440</v>
      </c>
      <c r="M186" s="13">
        <f>L186/K186</f>
        <v/>
      </c>
      <c r="N186" s="12" t="n">
        <v>143</v>
      </c>
      <c r="O186" s="13" t="n">
        <v>0.533</v>
      </c>
      <c r="P186" s="12" t="n">
        <v>3650000</v>
      </c>
      <c r="Q186" s="12" t="n">
        <v>2500000</v>
      </c>
      <c r="R186" s="12">
        <f>Q186-P186</f>
        <v/>
      </c>
      <c r="S186" s="13">
        <f>(Q186-P186)/P186</f>
        <v/>
      </c>
      <c r="T186" s="10">
        <f>IF(AND(K186&gt;=50000, S186&gt;=0.35), "Vượt KPI", IF(AND(K186&gt;=20000, S186&gt;=0), "Đạt KPI", "Chưa đạt KPI"))</f>
        <v/>
      </c>
    </row>
    <row r="187">
      <c r="A187" s="14" t="inlineStr">
        <is>
          <t>SP-0184</t>
        </is>
      </c>
      <c r="B187" s="15" t="n">
        <v>46029</v>
      </c>
      <c r="C187" s="14" t="inlineStr">
        <is>
          <t>Tháng 01/2026</t>
        </is>
      </c>
      <c r="D187" s="14" t="inlineStr">
        <is>
          <t>Quý 1</t>
        </is>
      </c>
      <c r="E187" s="16" t="inlineStr">
        <is>
          <t>Ban Thời sự - Chính trị</t>
        </is>
      </c>
      <c r="F187" s="16" t="inlineStr">
        <is>
          <t>Nhóm Quang Huy</t>
        </is>
      </c>
      <c r="G187" s="16" t="inlineStr">
        <is>
          <t>Báo Điện tử (Web)</t>
        </is>
      </c>
      <c r="H187" s="16" t="inlineStr">
        <is>
          <t>Tin bài Đa phương tiện</t>
        </is>
      </c>
      <c r="I187" s="16" t="inlineStr">
        <is>
          <t>Kinh tế - Thị trường</t>
        </is>
      </c>
      <c r="J187" s="16" t="inlineStr">
        <is>
          <t>Toàn trình (70%)</t>
        </is>
      </c>
      <c r="K187" s="17" t="n">
        <v>120084</v>
      </c>
      <c r="L187" s="17" t="n">
        <v>4983</v>
      </c>
      <c r="M187" s="18">
        <f>L187/K187</f>
        <v/>
      </c>
      <c r="N187" s="17" t="n">
        <v>301</v>
      </c>
      <c r="O187" s="18" t="n">
        <v>0.7503</v>
      </c>
      <c r="P187" s="17" t="n">
        <v>2550000</v>
      </c>
      <c r="Q187" s="17" t="n">
        <v>5000000</v>
      </c>
      <c r="R187" s="17">
        <f>Q187-P187</f>
        <v/>
      </c>
      <c r="S187" s="18">
        <f>(Q187-P187)/P187</f>
        <v/>
      </c>
      <c r="T187" s="14">
        <f>IF(AND(K187&gt;=50000, S187&gt;=0.35), "Vượt KPI", IF(AND(K187&gt;=20000, S187&gt;=0), "Đạt KPI", "Chưa đạt KPI"))</f>
        <v/>
      </c>
    </row>
    <row r="188">
      <c r="A188" s="10" t="inlineStr">
        <is>
          <t>SP-0185</t>
        </is>
      </c>
      <c r="B188" s="11" t="n">
        <v>46148</v>
      </c>
      <c r="C188" s="10" t="inlineStr">
        <is>
          <t>Tháng 05/2026</t>
        </is>
      </c>
      <c r="D188" s="10" t="inlineStr">
        <is>
          <t>Quý 2</t>
        </is>
      </c>
      <c r="E188" s="5" t="inlineStr">
        <is>
          <t>Ban Công nghệ &amp; AI</t>
        </is>
      </c>
      <c r="F188" s="5" t="inlineStr">
        <is>
          <t>Nhóm Gia Hưng</t>
        </is>
      </c>
      <c r="G188" s="5" t="inlineStr">
        <is>
          <t>YouTube</t>
        </is>
      </c>
      <c r="H188" s="5" t="inlineStr">
        <is>
          <t>YouTube Shorts</t>
        </is>
      </c>
      <c r="I188" s="5" t="inlineStr">
        <is>
          <t>Công nghệ &amp; AI</t>
        </is>
      </c>
      <c r="J188" s="5" t="inlineStr">
        <is>
          <t>Toàn trình (70%)</t>
        </is>
      </c>
      <c r="K188" s="12" t="n">
        <v>226978</v>
      </c>
      <c r="L188" s="12" t="n">
        <v>19179</v>
      </c>
      <c r="M188" s="13">
        <f>L188/K188</f>
        <v/>
      </c>
      <c r="N188" s="12" t="n">
        <v>227</v>
      </c>
      <c r="O188" s="13" t="n">
        <v>0.7783</v>
      </c>
      <c r="P188" s="12" t="n">
        <v>2400000</v>
      </c>
      <c r="Q188" s="12" t="n">
        <v>4400000</v>
      </c>
      <c r="R188" s="12">
        <f>Q188-P188</f>
        <v/>
      </c>
      <c r="S188" s="13">
        <f>(Q188-P188)/P188</f>
        <v/>
      </c>
      <c r="T188" s="10">
        <f>IF(AND(K188&gt;=50000, S188&gt;=0.35), "Vượt KPI", IF(AND(K188&gt;=20000, S188&gt;=0), "Đạt KPI", "Chưa đạt KPI"))</f>
        <v/>
      </c>
    </row>
    <row r="189">
      <c r="A189" s="14" t="inlineStr">
        <is>
          <t>SP-0186</t>
        </is>
      </c>
      <c r="B189" s="15" t="n">
        <v>46078</v>
      </c>
      <c r="C189" s="14" t="inlineStr">
        <is>
          <t>Tháng 02/2026</t>
        </is>
      </c>
      <c r="D189" s="14" t="inlineStr">
        <is>
          <t>Quý 1</t>
        </is>
      </c>
      <c r="E189" s="16" t="inlineStr">
        <is>
          <t>Ban Kinh tế - Tài chính</t>
        </is>
      </c>
      <c r="F189" s="16" t="inlineStr">
        <is>
          <t>Nhóm Minh Tuấn</t>
        </is>
      </c>
      <c r="G189" s="16" t="inlineStr">
        <is>
          <t>TikTok</t>
        </is>
      </c>
      <c r="H189" s="16" t="inlineStr">
        <is>
          <t>TikTok Reel (1-3p)</t>
        </is>
      </c>
      <c r="I189" s="16" t="inlineStr">
        <is>
          <t>Kinh tế - Thị trường</t>
        </is>
      </c>
      <c r="J189" s="16" t="inlineStr">
        <is>
          <t>Toàn trình (70%)</t>
        </is>
      </c>
      <c r="K189" s="17" t="n">
        <v>94889</v>
      </c>
      <c r="L189" s="17" t="n">
        <v>5655</v>
      </c>
      <c r="M189" s="18">
        <f>L189/K189</f>
        <v/>
      </c>
      <c r="N189" s="17" t="n">
        <v>66</v>
      </c>
      <c r="O189" s="18" t="n">
        <v>0.6698</v>
      </c>
      <c r="P189" s="17" t="n">
        <v>1250000</v>
      </c>
      <c r="Q189" s="17" t="n">
        <v>4000000</v>
      </c>
      <c r="R189" s="17">
        <f>Q189-P189</f>
        <v/>
      </c>
      <c r="S189" s="18">
        <f>(Q189-P189)/P189</f>
        <v/>
      </c>
      <c r="T189" s="14">
        <f>IF(AND(K189&gt;=50000, S189&gt;=0.35), "Vượt KPI", IF(AND(K189&gt;=20000, S189&gt;=0), "Đạt KPI", "Chưa đạt KPI"))</f>
        <v/>
      </c>
    </row>
    <row r="190">
      <c r="A190" s="10" t="inlineStr">
        <is>
          <t>SP-0187</t>
        </is>
      </c>
      <c r="B190" s="11" t="n">
        <v>46033</v>
      </c>
      <c r="C190" s="10" t="inlineStr">
        <is>
          <t>Tháng 01/2026</t>
        </is>
      </c>
      <c r="D190" s="10" t="inlineStr">
        <is>
          <t>Quý 1</t>
        </is>
      </c>
      <c r="E190" s="5" t="inlineStr">
        <is>
          <t>Ban Kinh tế - Tài chính</t>
        </is>
      </c>
      <c r="F190" s="5" t="inlineStr">
        <is>
          <t>Nhóm Đức Thịnh</t>
        </is>
      </c>
      <c r="G190" s="5" t="inlineStr">
        <is>
          <t>Báo Điện tử (Web)</t>
        </is>
      </c>
      <c r="H190" s="5" t="inlineStr">
        <is>
          <t>Longform / E-magazine</t>
        </is>
      </c>
      <c r="I190" s="5" t="inlineStr">
        <is>
          <t>Chính sách &amp; Pháp luật</t>
        </is>
      </c>
      <c r="J190" s="5" t="inlineStr">
        <is>
          <t>Toàn trình (70%)</t>
        </is>
      </c>
      <c r="K190" s="12" t="n">
        <v>41660</v>
      </c>
      <c r="L190" s="12" t="n">
        <v>3911</v>
      </c>
      <c r="M190" s="13">
        <f>L190/K190</f>
        <v/>
      </c>
      <c r="N190" s="12" t="n">
        <v>70</v>
      </c>
      <c r="O190" s="13" t="n">
        <v>0.6596</v>
      </c>
      <c r="P190" s="12" t="n">
        <v>3600000</v>
      </c>
      <c r="Q190" s="12" t="n">
        <v>4600000</v>
      </c>
      <c r="R190" s="12">
        <f>Q190-P190</f>
        <v/>
      </c>
      <c r="S190" s="13">
        <f>(Q190-P190)/P190</f>
        <v/>
      </c>
      <c r="T190" s="10">
        <f>IF(AND(K190&gt;=50000, S190&gt;=0.35), "Vượt KPI", IF(AND(K190&gt;=20000, S190&gt;=0), "Đạt KPI", "Chưa đạt KPI"))</f>
        <v/>
      </c>
    </row>
    <row r="191">
      <c r="A191" s="14" t="inlineStr">
        <is>
          <t>SP-0188</t>
        </is>
      </c>
      <c r="B191" s="15" t="n">
        <v>46084</v>
      </c>
      <c r="C191" s="14" t="inlineStr">
        <is>
          <t>Tháng 03/2026</t>
        </is>
      </c>
      <c r="D191" s="14" t="inlineStr">
        <is>
          <t>Quý 1</t>
        </is>
      </c>
      <c r="E191" s="16" t="inlineStr">
        <is>
          <t>Ban Thời sự - Chính trị</t>
        </is>
      </c>
      <c r="F191" s="16" t="inlineStr">
        <is>
          <t>Nhóm Thanh Tâm</t>
        </is>
      </c>
      <c r="G191" s="16" t="inlineStr">
        <is>
          <t>YouTube</t>
        </is>
      </c>
      <c r="H191" s="16" t="inlineStr">
        <is>
          <t>YouTube Long-form (10-25p)</t>
        </is>
      </c>
      <c r="I191" s="16" t="inlineStr">
        <is>
          <t>Chính sách &amp; Pháp luật</t>
        </is>
      </c>
      <c r="J191" s="16" t="inlineStr">
        <is>
          <t>Cơ bản (15%)</t>
        </is>
      </c>
      <c r="K191" s="17" t="n">
        <v>354522</v>
      </c>
      <c r="L191" s="17" t="n">
        <v>24674</v>
      </c>
      <c r="M191" s="18">
        <f>L191/K191</f>
        <v/>
      </c>
      <c r="N191" s="17" t="n">
        <v>118</v>
      </c>
      <c r="O191" s="18" t="n">
        <v>0.4284</v>
      </c>
      <c r="P191" s="17" t="n">
        <v>16450000</v>
      </c>
      <c r="Q191" s="17" t="n">
        <v>85100000</v>
      </c>
      <c r="R191" s="17">
        <f>Q191-P191</f>
        <v/>
      </c>
      <c r="S191" s="18">
        <f>(Q191-P191)/P191</f>
        <v/>
      </c>
      <c r="T191" s="14">
        <f>IF(AND(K191&gt;=50000, S191&gt;=0.35), "Vượt KPI", IF(AND(K191&gt;=20000, S191&gt;=0), "Đạt KPI", "Chưa đạt KPI"))</f>
        <v/>
      </c>
    </row>
    <row r="192">
      <c r="A192" s="10" t="inlineStr">
        <is>
          <t>SP-0189</t>
        </is>
      </c>
      <c r="B192" s="11" t="n">
        <v>46028</v>
      </c>
      <c r="C192" s="10" t="inlineStr">
        <is>
          <t>Tháng 01/2026</t>
        </is>
      </c>
      <c r="D192" s="10" t="inlineStr">
        <is>
          <t>Quý 1</t>
        </is>
      </c>
      <c r="E192" s="5" t="inlineStr">
        <is>
          <t>Ban Kinh tế - Tài chính</t>
        </is>
      </c>
      <c r="F192" s="5" t="inlineStr">
        <is>
          <t>Nhóm Đức Thịnh</t>
        </is>
      </c>
      <c r="G192" s="5" t="inlineStr">
        <is>
          <t>Podcast / Audio</t>
        </is>
      </c>
      <c r="H192" s="5" t="inlineStr">
        <is>
          <t>Podcast Chuyên sâu (20p)</t>
        </is>
      </c>
      <c r="I192" s="5" t="inlineStr">
        <is>
          <t>Chính sách &amp; Pháp luật</t>
        </is>
      </c>
      <c r="J192" s="5" t="inlineStr">
        <is>
          <t>Toàn trình (70%)</t>
        </is>
      </c>
      <c r="K192" s="12" t="n">
        <v>11830</v>
      </c>
      <c r="L192" s="12" t="n">
        <v>1113</v>
      </c>
      <c r="M192" s="13">
        <f>L192/K192</f>
        <v/>
      </c>
      <c r="N192" s="12" t="n">
        <v>716</v>
      </c>
      <c r="O192" s="13" t="n">
        <v>0.4427</v>
      </c>
      <c r="P192" s="12" t="n">
        <v>1900000</v>
      </c>
      <c r="Q192" s="12" t="n">
        <v>2300000</v>
      </c>
      <c r="R192" s="12">
        <f>Q192-P192</f>
        <v/>
      </c>
      <c r="S192" s="13">
        <f>(Q192-P192)/P192</f>
        <v/>
      </c>
      <c r="T192" s="10">
        <f>IF(AND(K192&gt;=50000, S192&gt;=0.35), "Vượt KPI", IF(AND(K192&gt;=20000, S192&gt;=0), "Đạt KPI", "Chưa đạt KPI"))</f>
        <v/>
      </c>
    </row>
    <row r="193">
      <c r="A193" s="14" t="inlineStr">
        <is>
          <t>SP-0190</t>
        </is>
      </c>
      <c r="B193" s="15" t="n">
        <v>46024</v>
      </c>
      <c r="C193" s="14" t="inlineStr">
        <is>
          <t>Tháng 01/2026</t>
        </is>
      </c>
      <c r="D193" s="14" t="inlineStr">
        <is>
          <t>Quý 1</t>
        </is>
      </c>
      <c r="E193" s="16" t="inlineStr">
        <is>
          <t>Ban Thời sự - Chính trị</t>
        </is>
      </c>
      <c r="F193" s="16" t="inlineStr">
        <is>
          <t>Nhóm Việt Anh</t>
        </is>
      </c>
      <c r="G193" s="16" t="inlineStr">
        <is>
          <t>YouTube</t>
        </is>
      </c>
      <c r="H193" s="16" t="inlineStr">
        <is>
          <t>YouTube Shorts</t>
        </is>
      </c>
      <c r="I193" s="16" t="inlineStr">
        <is>
          <t>Kinh tế - Thị trường</t>
        </is>
      </c>
      <c r="J193" s="16" t="inlineStr">
        <is>
          <t>Thủ công (0%)</t>
        </is>
      </c>
      <c r="K193" s="17" t="n">
        <v>213160</v>
      </c>
      <c r="L193" s="17" t="n">
        <v>20100</v>
      </c>
      <c r="M193" s="18">
        <f>L193/K193</f>
        <v/>
      </c>
      <c r="N193" s="17" t="n">
        <v>689</v>
      </c>
      <c r="O193" s="18" t="n">
        <v>0.3936</v>
      </c>
      <c r="P193" s="17" t="n">
        <v>17000000</v>
      </c>
      <c r="Q193" s="17" t="n">
        <v>48500000</v>
      </c>
      <c r="R193" s="17">
        <f>Q193-P193</f>
        <v/>
      </c>
      <c r="S193" s="18">
        <f>(Q193-P193)/P193</f>
        <v/>
      </c>
      <c r="T193" s="14">
        <f>IF(AND(K193&gt;=50000, S193&gt;=0.35), "Vượt KPI", IF(AND(K193&gt;=20000, S193&gt;=0), "Đạt KPI", "Chưa đạt KPI"))</f>
        <v/>
      </c>
    </row>
    <row r="194">
      <c r="A194" s="10" t="inlineStr">
        <is>
          <t>SP-0191</t>
        </is>
      </c>
      <c r="B194" s="11" t="n">
        <v>46085</v>
      </c>
      <c r="C194" s="10" t="inlineStr">
        <is>
          <t>Tháng 03/2026</t>
        </is>
      </c>
      <c r="D194" s="10" t="inlineStr">
        <is>
          <t>Quý 1</t>
        </is>
      </c>
      <c r="E194" s="5" t="inlineStr">
        <is>
          <t>Ban Video &amp; Truyền hình số</t>
        </is>
      </c>
      <c r="F194" s="5" t="inlineStr">
        <is>
          <t>Nhóm Hoàng Hải</t>
        </is>
      </c>
      <c r="G194" s="5" t="inlineStr">
        <is>
          <t>Facebook Page</t>
        </is>
      </c>
      <c r="H194" s="5" t="inlineStr">
        <is>
          <t>Video Bản tin (3-5p)</t>
        </is>
      </c>
      <c r="I194" s="5" t="inlineStr">
        <is>
          <t>Công nghệ &amp; AI</t>
        </is>
      </c>
      <c r="J194" s="5" t="inlineStr">
        <is>
          <t>Cơ bản (15%)</t>
        </is>
      </c>
      <c r="K194" s="12" t="n">
        <v>301127</v>
      </c>
      <c r="L194" s="12" t="n">
        <v>19272</v>
      </c>
      <c r="M194" s="13">
        <f>L194/K194</f>
        <v/>
      </c>
      <c r="N194" s="12" t="n">
        <v>175</v>
      </c>
      <c r="O194" s="13" t="n">
        <v>0.479</v>
      </c>
      <c r="P194" s="12" t="n">
        <v>4050000</v>
      </c>
      <c r="Q194" s="12" t="n">
        <v>10450000</v>
      </c>
      <c r="R194" s="12">
        <f>Q194-P194</f>
        <v/>
      </c>
      <c r="S194" s="13">
        <f>(Q194-P194)/P194</f>
        <v/>
      </c>
      <c r="T194" s="10">
        <f>IF(AND(K194&gt;=50000, S194&gt;=0.35), "Vượt KPI", IF(AND(K194&gt;=20000, S194&gt;=0), "Đạt KPI", "Chưa đạt KPI"))</f>
        <v/>
      </c>
    </row>
    <row r="195">
      <c r="A195" s="14" t="inlineStr">
        <is>
          <t>SP-0192</t>
        </is>
      </c>
      <c r="B195" s="15" t="n">
        <v>46050</v>
      </c>
      <c r="C195" s="14" t="inlineStr">
        <is>
          <t>Tháng 01/2026</t>
        </is>
      </c>
      <c r="D195" s="14" t="inlineStr">
        <is>
          <t>Quý 1</t>
        </is>
      </c>
      <c r="E195" s="16" t="inlineStr">
        <is>
          <t>Ban Kinh tế - Tài chính</t>
        </is>
      </c>
      <c r="F195" s="16" t="inlineStr">
        <is>
          <t>Nhóm Lan Hương</t>
        </is>
      </c>
      <c r="G195" s="16" t="inlineStr">
        <is>
          <t>TikTok</t>
        </is>
      </c>
      <c r="H195" s="16" t="inlineStr">
        <is>
          <t>Short Video (&lt;60s)</t>
        </is>
      </c>
      <c r="I195" s="16" t="inlineStr">
        <is>
          <t>Chính sách &amp; Pháp luật</t>
        </is>
      </c>
      <c r="J195" s="16" t="inlineStr">
        <is>
          <t>Toàn trình (70%)</t>
        </is>
      </c>
      <c r="K195" s="17" t="n">
        <v>82195</v>
      </c>
      <c r="L195" s="17" t="n">
        <v>7052</v>
      </c>
      <c r="M195" s="18">
        <f>L195/K195</f>
        <v/>
      </c>
      <c r="N195" s="17" t="n">
        <v>71</v>
      </c>
      <c r="O195" s="18" t="n">
        <v>0.6055</v>
      </c>
      <c r="P195" s="17" t="n">
        <v>1150000</v>
      </c>
      <c r="Q195" s="17" t="n">
        <v>1500000</v>
      </c>
      <c r="R195" s="17">
        <f>Q195-P195</f>
        <v/>
      </c>
      <c r="S195" s="18">
        <f>(Q195-P195)/P195</f>
        <v/>
      </c>
      <c r="T195" s="14">
        <f>IF(AND(K195&gt;=50000, S195&gt;=0.35), "Vượt KPI", IF(AND(K195&gt;=20000, S195&gt;=0), "Đạt KPI", "Chưa đạt KPI"))</f>
        <v/>
      </c>
    </row>
    <row r="196">
      <c r="A196" s="10" t="inlineStr">
        <is>
          <t>SP-0193</t>
        </is>
      </c>
      <c r="B196" s="11" t="n">
        <v>46188</v>
      </c>
      <c r="C196" s="10" t="inlineStr">
        <is>
          <t>Tháng 06/2026</t>
        </is>
      </c>
      <c r="D196" s="10" t="inlineStr">
        <is>
          <t>Quý 2</t>
        </is>
      </c>
      <c r="E196" s="5" t="inlineStr">
        <is>
          <t>Ban Thời sự - Chính trị</t>
        </is>
      </c>
      <c r="F196" s="5" t="inlineStr">
        <is>
          <t>Nhóm Quang Huy</t>
        </is>
      </c>
      <c r="G196" s="5" t="inlineStr">
        <is>
          <t>Facebook Page</t>
        </is>
      </c>
      <c r="H196" s="5" t="inlineStr">
        <is>
          <t>Facebook Reels</t>
        </is>
      </c>
      <c r="I196" s="5" t="inlineStr">
        <is>
          <t>Phóng sự Điều tra</t>
        </is>
      </c>
      <c r="J196" s="5" t="inlineStr">
        <is>
          <t>Thủ công (0%)</t>
        </is>
      </c>
      <c r="K196" s="12" t="n">
        <v>435549</v>
      </c>
      <c r="L196" s="12" t="n">
        <v>39983</v>
      </c>
      <c r="M196" s="13">
        <f>L196/K196</f>
        <v/>
      </c>
      <c r="N196" s="12" t="n">
        <v>144</v>
      </c>
      <c r="O196" s="13" t="n">
        <v>0.6359</v>
      </c>
      <c r="P196" s="12" t="n">
        <v>6550000</v>
      </c>
      <c r="Q196" s="12" t="n">
        <v>15000000</v>
      </c>
      <c r="R196" s="12">
        <f>Q196-P196</f>
        <v/>
      </c>
      <c r="S196" s="13">
        <f>(Q196-P196)/P196</f>
        <v/>
      </c>
      <c r="T196" s="10">
        <f>IF(AND(K196&gt;=50000, S196&gt;=0.35), "Vượt KPI", IF(AND(K196&gt;=20000, S196&gt;=0), "Đạt KPI", "Chưa đạt KPI"))</f>
        <v/>
      </c>
    </row>
    <row r="197">
      <c r="A197" s="14" t="inlineStr">
        <is>
          <t>SP-0194</t>
        </is>
      </c>
      <c r="B197" s="15" t="n">
        <v>46102</v>
      </c>
      <c r="C197" s="14" t="inlineStr">
        <is>
          <t>Tháng 03/2026</t>
        </is>
      </c>
      <c r="D197" s="14" t="inlineStr">
        <is>
          <t>Quý 1</t>
        </is>
      </c>
      <c r="E197" s="16" t="inlineStr">
        <is>
          <t>Ban Đời sống - Giới trẻ</t>
        </is>
      </c>
      <c r="F197" s="16" t="inlineStr">
        <is>
          <t>Nhóm Bảo Ngọc</t>
        </is>
      </c>
      <c r="G197" s="16" t="inlineStr">
        <is>
          <t>Báo Điện tử (Web)</t>
        </is>
      </c>
      <c r="H197" s="16" t="inlineStr">
        <is>
          <t>Tin bài Đa phương tiện</t>
        </is>
      </c>
      <c r="I197" s="16" t="inlineStr">
        <is>
          <t>Chính sách &amp; Pháp luật</t>
        </is>
      </c>
      <c r="J197" s="16" t="inlineStr">
        <is>
          <t>Hỗ trợ sâu (40%)</t>
        </is>
      </c>
      <c r="K197" s="17" t="n">
        <v>187252</v>
      </c>
      <c r="L197" s="17" t="n">
        <v>6703</v>
      </c>
      <c r="M197" s="18">
        <f>L197/K197</f>
        <v/>
      </c>
      <c r="N197" s="17" t="n">
        <v>274</v>
      </c>
      <c r="O197" s="18" t="n">
        <v>0.6127</v>
      </c>
      <c r="P197" s="17" t="n">
        <v>1700000</v>
      </c>
      <c r="Q197" s="17" t="n">
        <v>4950000</v>
      </c>
      <c r="R197" s="17">
        <f>Q197-P197</f>
        <v/>
      </c>
      <c r="S197" s="18">
        <f>(Q197-P197)/P197</f>
        <v/>
      </c>
      <c r="T197" s="14">
        <f>IF(AND(K197&gt;=50000, S197&gt;=0.35), "Vượt KPI", IF(AND(K197&gt;=20000, S197&gt;=0), "Đạt KPI", "Chưa đạt KPI"))</f>
        <v/>
      </c>
    </row>
    <row r="198">
      <c r="A198" s="10" t="inlineStr">
        <is>
          <t>SP-0195</t>
        </is>
      </c>
      <c r="B198" s="11" t="n">
        <v>46181</v>
      </c>
      <c r="C198" s="10" t="inlineStr">
        <is>
          <t>Tháng 06/2026</t>
        </is>
      </c>
      <c r="D198" s="10" t="inlineStr">
        <is>
          <t>Quý 2</t>
        </is>
      </c>
      <c r="E198" s="5" t="inlineStr">
        <is>
          <t>Ban Đời sống - Giới trẻ</t>
        </is>
      </c>
      <c r="F198" s="5" t="inlineStr">
        <is>
          <t>Nhóm Duy Khánh</t>
        </is>
      </c>
      <c r="G198" s="5" t="inlineStr">
        <is>
          <t>YouTube</t>
        </is>
      </c>
      <c r="H198" s="5" t="inlineStr">
        <is>
          <t>YouTube Shorts</t>
        </is>
      </c>
      <c r="I198" s="5" t="inlineStr">
        <is>
          <t>Phóng sự Điều tra</t>
        </is>
      </c>
      <c r="J198" s="5" t="inlineStr">
        <is>
          <t>Thủ công (0%)</t>
        </is>
      </c>
      <c r="K198" s="12" t="n">
        <v>852002</v>
      </c>
      <c r="L198" s="12" t="n">
        <v>55550</v>
      </c>
      <c r="M198" s="13">
        <f>L198/K198</f>
        <v/>
      </c>
      <c r="N198" s="12" t="n">
        <v>404</v>
      </c>
      <c r="O198" s="13" t="n">
        <v>0.3261</v>
      </c>
      <c r="P198" s="12" t="n">
        <v>10600000</v>
      </c>
      <c r="Q198" s="12" t="n">
        <v>39800000</v>
      </c>
      <c r="R198" s="12">
        <f>Q198-P198</f>
        <v/>
      </c>
      <c r="S198" s="13">
        <f>(Q198-P198)/P198</f>
        <v/>
      </c>
      <c r="T198" s="10">
        <f>IF(AND(K198&gt;=50000, S198&gt;=0.35), "Vượt KPI", IF(AND(K198&gt;=20000, S198&gt;=0), "Đạt KPI", "Chưa đạt KPI"))</f>
        <v/>
      </c>
    </row>
    <row r="199">
      <c r="A199" s="14" t="inlineStr">
        <is>
          <t>SP-0196</t>
        </is>
      </c>
      <c r="B199" s="15" t="n">
        <v>46117</v>
      </c>
      <c r="C199" s="14" t="inlineStr">
        <is>
          <t>Tháng 04/2026</t>
        </is>
      </c>
      <c r="D199" s="14" t="inlineStr">
        <is>
          <t>Quý 2</t>
        </is>
      </c>
      <c r="E199" s="16" t="inlineStr">
        <is>
          <t>Ban Video &amp; Truyền hình số</t>
        </is>
      </c>
      <c r="F199" s="16" t="inlineStr">
        <is>
          <t>Nhóm Thu Trang</t>
        </is>
      </c>
      <c r="G199" s="16" t="inlineStr">
        <is>
          <t>Facebook Page</t>
        </is>
      </c>
      <c r="H199" s="16" t="inlineStr">
        <is>
          <t>Video Bản tin (3-5p)</t>
        </is>
      </c>
      <c r="I199" s="16" t="inlineStr">
        <is>
          <t>Tài chính Cá nhân &amp; Đầu tư</t>
        </is>
      </c>
      <c r="J199" s="16" t="inlineStr">
        <is>
          <t>Cơ bản (15%)</t>
        </is>
      </c>
      <c r="K199" s="17" t="n">
        <v>16877</v>
      </c>
      <c r="L199" s="17" t="n">
        <v>1015</v>
      </c>
      <c r="M199" s="18">
        <f>L199/K199</f>
        <v/>
      </c>
      <c r="N199" s="17" t="n">
        <v>81</v>
      </c>
      <c r="O199" s="18" t="n">
        <v>0.6726</v>
      </c>
      <c r="P199" s="17" t="n">
        <v>1950000</v>
      </c>
      <c r="Q199" s="17" t="n">
        <v>950000</v>
      </c>
      <c r="R199" s="17">
        <f>Q199-P199</f>
        <v/>
      </c>
      <c r="S199" s="18">
        <f>(Q199-P199)/P199</f>
        <v/>
      </c>
      <c r="T199" s="14">
        <f>IF(AND(K199&gt;=50000, S199&gt;=0.35), "Vượt KPI", IF(AND(K199&gt;=20000, S199&gt;=0), "Đạt KPI", "Chưa đạt KPI"))</f>
        <v/>
      </c>
    </row>
    <row r="200">
      <c r="A200" s="10" t="inlineStr">
        <is>
          <t>SP-0197</t>
        </is>
      </c>
      <c r="B200" s="11" t="n">
        <v>46125</v>
      </c>
      <c r="C200" s="10" t="inlineStr">
        <is>
          <t>Tháng 04/2026</t>
        </is>
      </c>
      <c r="D200" s="10" t="inlineStr">
        <is>
          <t>Quý 2</t>
        </is>
      </c>
      <c r="E200" s="5" t="inlineStr">
        <is>
          <t>Ban Kinh tế - Tài chính</t>
        </is>
      </c>
      <c r="F200" s="5" t="inlineStr">
        <is>
          <t>Nhóm Minh Tuấn</t>
        </is>
      </c>
      <c r="G200" s="5" t="inlineStr">
        <is>
          <t>TikTok</t>
        </is>
      </c>
      <c r="H200" s="5" t="inlineStr">
        <is>
          <t>Short Video (&lt;60s)</t>
        </is>
      </c>
      <c r="I200" s="5" t="inlineStr">
        <is>
          <t>Chính sách &amp; Pháp luật</t>
        </is>
      </c>
      <c r="J200" s="5" t="inlineStr">
        <is>
          <t>Hỗ trợ sâu (40%)</t>
        </is>
      </c>
      <c r="K200" s="12" t="n">
        <v>479536</v>
      </c>
      <c r="L200" s="12" t="n">
        <v>56681</v>
      </c>
      <c r="M200" s="13">
        <f>L200/K200</f>
        <v/>
      </c>
      <c r="N200" s="12" t="n">
        <v>41</v>
      </c>
      <c r="O200" s="13" t="n">
        <v>0.6696</v>
      </c>
      <c r="P200" s="12" t="n">
        <v>1450000</v>
      </c>
      <c r="Q200" s="12" t="n">
        <v>2100000</v>
      </c>
      <c r="R200" s="12">
        <f>Q200-P200</f>
        <v/>
      </c>
      <c r="S200" s="13">
        <f>(Q200-P200)/P200</f>
        <v/>
      </c>
      <c r="T200" s="10">
        <f>IF(AND(K200&gt;=50000, S200&gt;=0.35), "Vượt KPI", IF(AND(K200&gt;=20000, S200&gt;=0), "Đạt KPI", "Chưa đạt KPI"))</f>
        <v/>
      </c>
    </row>
    <row r="201">
      <c r="A201" s="14" t="inlineStr">
        <is>
          <t>SP-0198</t>
        </is>
      </c>
      <c r="B201" s="15" t="n">
        <v>46139</v>
      </c>
      <c r="C201" s="14" t="inlineStr">
        <is>
          <t>Tháng 04/2026</t>
        </is>
      </c>
      <c r="D201" s="14" t="inlineStr">
        <is>
          <t>Quý 2</t>
        </is>
      </c>
      <c r="E201" s="16" t="inlineStr">
        <is>
          <t>Ban Phóng sự - Điều tra</t>
        </is>
      </c>
      <c r="F201" s="16" t="inlineStr">
        <is>
          <t>Nhóm Trọng Nghĩa</t>
        </is>
      </c>
      <c r="G201" s="16" t="inlineStr">
        <is>
          <t>YouTube</t>
        </is>
      </c>
      <c r="H201" s="16" t="inlineStr">
        <is>
          <t>YouTube Long-form (10-25p)</t>
        </is>
      </c>
      <c r="I201" s="16" t="inlineStr">
        <is>
          <t>Đời sống - Xã hội</t>
        </is>
      </c>
      <c r="J201" s="16" t="inlineStr">
        <is>
          <t>Hỗ trợ sâu (40%)</t>
        </is>
      </c>
      <c r="K201" s="17" t="n">
        <v>105726</v>
      </c>
      <c r="L201" s="17" t="n">
        <v>7569</v>
      </c>
      <c r="M201" s="18">
        <f>L201/K201</f>
        <v/>
      </c>
      <c r="N201" s="17" t="n">
        <v>565</v>
      </c>
      <c r="O201" s="18" t="n">
        <v>0.3714</v>
      </c>
      <c r="P201" s="17" t="n">
        <v>14000000</v>
      </c>
      <c r="Q201" s="17" t="n">
        <v>21000000</v>
      </c>
      <c r="R201" s="17">
        <f>Q201-P201</f>
        <v/>
      </c>
      <c r="S201" s="18">
        <f>(Q201-P201)/P201</f>
        <v/>
      </c>
      <c r="T201" s="14">
        <f>IF(AND(K201&gt;=50000, S201&gt;=0.35), "Vượt KPI", IF(AND(K201&gt;=20000, S201&gt;=0), "Đạt KPI", "Chưa đạt KPI"))</f>
        <v/>
      </c>
    </row>
    <row r="202">
      <c r="A202" s="10" t="inlineStr">
        <is>
          <t>SP-0199</t>
        </is>
      </c>
      <c r="B202" s="11" t="n">
        <v>46089</v>
      </c>
      <c r="C202" s="10" t="inlineStr">
        <is>
          <t>Tháng 03/2026</t>
        </is>
      </c>
      <c r="D202" s="10" t="inlineStr">
        <is>
          <t>Quý 1</t>
        </is>
      </c>
      <c r="E202" s="5" t="inlineStr">
        <is>
          <t>Ban Video &amp; Truyền hình số</t>
        </is>
      </c>
      <c r="F202" s="5" t="inlineStr">
        <is>
          <t>Nhóm Quốc Bảo</t>
        </is>
      </c>
      <c r="G202" s="5" t="inlineStr">
        <is>
          <t>Podcast / Audio</t>
        </is>
      </c>
      <c r="H202" s="5" t="inlineStr">
        <is>
          <t>Podcast Chuyên sâu (20p)</t>
        </is>
      </c>
      <c r="I202" s="5" t="inlineStr">
        <is>
          <t>Tài chính Cá nhân &amp; Đầu tư</t>
        </is>
      </c>
      <c r="J202" s="5" t="inlineStr">
        <is>
          <t>Thủ công (0%)</t>
        </is>
      </c>
      <c r="K202" s="12" t="n">
        <v>17365</v>
      </c>
      <c r="L202" s="12" t="n">
        <v>1255</v>
      </c>
      <c r="M202" s="13">
        <f>L202/K202</f>
        <v/>
      </c>
      <c r="N202" s="12" t="n">
        <v>517</v>
      </c>
      <c r="O202" s="13" t="n">
        <v>0.626</v>
      </c>
      <c r="P202" s="12" t="n">
        <v>3350000</v>
      </c>
      <c r="Q202" s="12" t="n">
        <v>3800000</v>
      </c>
      <c r="R202" s="12">
        <f>Q202-P202</f>
        <v/>
      </c>
      <c r="S202" s="13">
        <f>(Q202-P202)/P202</f>
        <v/>
      </c>
      <c r="T202" s="10">
        <f>IF(AND(K202&gt;=50000, S202&gt;=0.35), "Vượt KPI", IF(AND(K202&gt;=20000, S202&gt;=0), "Đạt KPI", "Chưa đạt KPI"))</f>
        <v/>
      </c>
    </row>
    <row r="203">
      <c r="A203" s="14" t="inlineStr">
        <is>
          <t>SP-0200</t>
        </is>
      </c>
      <c r="B203" s="15" t="n">
        <v>46177</v>
      </c>
      <c r="C203" s="14" t="inlineStr">
        <is>
          <t>Tháng 06/2026</t>
        </is>
      </c>
      <c r="D203" s="14" t="inlineStr">
        <is>
          <t>Quý 2</t>
        </is>
      </c>
      <c r="E203" s="16" t="inlineStr">
        <is>
          <t>Ban Phóng sự - Điều tra</t>
        </is>
      </c>
      <c r="F203" s="16" t="inlineStr">
        <is>
          <t>Nhóm Trọng Nghĩa</t>
        </is>
      </c>
      <c r="G203" s="16" t="inlineStr">
        <is>
          <t>TikTok</t>
        </is>
      </c>
      <c r="H203" s="16" t="inlineStr">
        <is>
          <t>TikTok Reel (1-3p)</t>
        </is>
      </c>
      <c r="I203" s="16" t="inlineStr">
        <is>
          <t>Chính sách &amp; Pháp luật</t>
        </is>
      </c>
      <c r="J203" s="16" t="inlineStr">
        <is>
          <t>Cơ bản (15%)</t>
        </is>
      </c>
      <c r="K203" s="17" t="n">
        <v>284291</v>
      </c>
      <c r="L203" s="17" t="n">
        <v>14072</v>
      </c>
      <c r="M203" s="18">
        <f>L203/K203</f>
        <v/>
      </c>
      <c r="N203" s="17" t="n">
        <v>46</v>
      </c>
      <c r="O203" s="18" t="n">
        <v>0.5474</v>
      </c>
      <c r="P203" s="17" t="n">
        <v>1350000</v>
      </c>
      <c r="Q203" s="17" t="n">
        <v>1900000</v>
      </c>
      <c r="R203" s="17">
        <f>Q203-P203</f>
        <v/>
      </c>
      <c r="S203" s="18">
        <f>(Q203-P203)/P203</f>
        <v/>
      </c>
      <c r="T203" s="14">
        <f>IF(AND(K203&gt;=50000, S203&gt;=0.35), "Vượt KPI", IF(AND(K203&gt;=20000, S203&gt;=0), "Đạt KPI", "Chưa đạt KPI"))</f>
        <v/>
      </c>
    </row>
    <row r="204">
      <c r="A204" s="10" t="inlineStr">
        <is>
          <t>SP-0201</t>
        </is>
      </c>
      <c r="B204" s="11" t="n">
        <v>46054</v>
      </c>
      <c r="C204" s="10" t="inlineStr">
        <is>
          <t>Tháng 02/2026</t>
        </is>
      </c>
      <c r="D204" s="10" t="inlineStr">
        <is>
          <t>Quý 1</t>
        </is>
      </c>
      <c r="E204" s="5" t="inlineStr">
        <is>
          <t>Ban Video &amp; Truyền hình số</t>
        </is>
      </c>
      <c r="F204" s="5" t="inlineStr">
        <is>
          <t>Nhóm Hoàng Hải</t>
        </is>
      </c>
      <c r="G204" s="5" t="inlineStr">
        <is>
          <t>YouTube</t>
        </is>
      </c>
      <c r="H204" s="5" t="inlineStr">
        <is>
          <t>YouTube Shorts</t>
        </is>
      </c>
      <c r="I204" s="5" t="inlineStr">
        <is>
          <t>Chính sách &amp; Pháp luật</t>
        </is>
      </c>
      <c r="J204" s="5" t="inlineStr">
        <is>
          <t>Toàn trình (70%)</t>
        </is>
      </c>
      <c r="K204" s="12" t="n">
        <v>311016</v>
      </c>
      <c r="L204" s="12" t="n">
        <v>18692</v>
      </c>
      <c r="M204" s="13">
        <f>L204/K204</f>
        <v/>
      </c>
      <c r="N204" s="12" t="n">
        <v>487</v>
      </c>
      <c r="O204" s="13" t="n">
        <v>0.6418</v>
      </c>
      <c r="P204" s="12" t="n">
        <v>5850000</v>
      </c>
      <c r="Q204" s="12" t="n">
        <v>27100000</v>
      </c>
      <c r="R204" s="12">
        <f>Q204-P204</f>
        <v/>
      </c>
      <c r="S204" s="13">
        <f>(Q204-P204)/P204</f>
        <v/>
      </c>
      <c r="T204" s="10">
        <f>IF(AND(K204&gt;=50000, S204&gt;=0.35), "Vượt KPI", IF(AND(K204&gt;=20000, S204&gt;=0), "Đạt KPI", "Chưa đạt KPI"))</f>
        <v/>
      </c>
    </row>
    <row r="205">
      <c r="A205" s="14" t="inlineStr">
        <is>
          <t>SP-0202</t>
        </is>
      </c>
      <c r="B205" s="15" t="n">
        <v>46146</v>
      </c>
      <c r="C205" s="14" t="inlineStr">
        <is>
          <t>Tháng 05/2026</t>
        </is>
      </c>
      <c r="D205" s="14" t="inlineStr">
        <is>
          <t>Quý 2</t>
        </is>
      </c>
      <c r="E205" s="16" t="inlineStr">
        <is>
          <t>Ban Thời sự - Chính trị</t>
        </is>
      </c>
      <c r="F205" s="16" t="inlineStr">
        <is>
          <t>Nhóm Quang Huy</t>
        </is>
      </c>
      <c r="G205" s="16" t="inlineStr">
        <is>
          <t>Facebook Page</t>
        </is>
      </c>
      <c r="H205" s="16" t="inlineStr">
        <is>
          <t>Photo Story / Carousel</t>
        </is>
      </c>
      <c r="I205" s="16" t="inlineStr">
        <is>
          <t>Tài chính Cá nhân &amp; Đầu tư</t>
        </is>
      </c>
      <c r="J205" s="16" t="inlineStr">
        <is>
          <t>Thủ công (0%)</t>
        </is>
      </c>
      <c r="K205" s="17" t="n">
        <v>215356</v>
      </c>
      <c r="L205" s="17" t="n">
        <v>10337</v>
      </c>
      <c r="M205" s="18">
        <f>L205/K205</f>
        <v/>
      </c>
      <c r="N205" s="17" t="n">
        <v>139</v>
      </c>
      <c r="O205" s="18" t="n">
        <v>0.4574</v>
      </c>
      <c r="P205" s="17" t="n">
        <v>3800000</v>
      </c>
      <c r="Q205" s="17" t="n">
        <v>8200000</v>
      </c>
      <c r="R205" s="17">
        <f>Q205-P205</f>
        <v/>
      </c>
      <c r="S205" s="18">
        <f>(Q205-P205)/P205</f>
        <v/>
      </c>
      <c r="T205" s="14">
        <f>IF(AND(K205&gt;=50000, S205&gt;=0.35), "Vượt KPI", IF(AND(K205&gt;=20000, S205&gt;=0), "Đạt KPI", "Chưa đạt KPI"))</f>
        <v/>
      </c>
    </row>
    <row r="206">
      <c r="A206" s="10" t="inlineStr">
        <is>
          <t>SP-0203</t>
        </is>
      </c>
      <c r="B206" s="11" t="n">
        <v>46127</v>
      </c>
      <c r="C206" s="10" t="inlineStr">
        <is>
          <t>Tháng 04/2026</t>
        </is>
      </c>
      <c r="D206" s="10" t="inlineStr">
        <is>
          <t>Quý 2</t>
        </is>
      </c>
      <c r="E206" s="5" t="inlineStr">
        <is>
          <t>Ban Công nghệ &amp; AI</t>
        </is>
      </c>
      <c r="F206" s="5" t="inlineStr">
        <is>
          <t>Nhóm Ngọc Ánh</t>
        </is>
      </c>
      <c r="G206" s="5" t="inlineStr">
        <is>
          <t>YouTube</t>
        </is>
      </c>
      <c r="H206" s="5" t="inlineStr">
        <is>
          <t>YouTube Long-form (10-25p)</t>
        </is>
      </c>
      <c r="I206" s="5" t="inlineStr">
        <is>
          <t>Công nghệ &amp; AI</t>
        </is>
      </c>
      <c r="J206" s="5" t="inlineStr">
        <is>
          <t>Toàn trình (70%)</t>
        </is>
      </c>
      <c r="K206" s="12" t="n">
        <v>38336</v>
      </c>
      <c r="L206" s="12" t="n">
        <v>3132</v>
      </c>
      <c r="M206" s="13">
        <f>L206/K206</f>
        <v/>
      </c>
      <c r="N206" s="12" t="n">
        <v>756</v>
      </c>
      <c r="O206" s="13" t="n">
        <v>0.4159</v>
      </c>
      <c r="P206" s="12" t="n">
        <v>10500000</v>
      </c>
      <c r="Q206" s="12" t="n">
        <v>45350000</v>
      </c>
      <c r="R206" s="12">
        <f>Q206-P206</f>
        <v/>
      </c>
      <c r="S206" s="13">
        <f>(Q206-P206)/P206</f>
        <v/>
      </c>
      <c r="T206" s="10">
        <f>IF(AND(K206&gt;=50000, S206&gt;=0.35), "Vượt KPI", IF(AND(K206&gt;=20000, S206&gt;=0), "Đạt KPI", "Chưa đạt KPI"))</f>
        <v/>
      </c>
    </row>
    <row r="207">
      <c r="A207" s="14" t="inlineStr">
        <is>
          <t>SP-0204</t>
        </is>
      </c>
      <c r="B207" s="15" t="n">
        <v>46103</v>
      </c>
      <c r="C207" s="14" t="inlineStr">
        <is>
          <t>Tháng 03/2026</t>
        </is>
      </c>
      <c r="D207" s="14" t="inlineStr">
        <is>
          <t>Quý 1</t>
        </is>
      </c>
      <c r="E207" s="16" t="inlineStr">
        <is>
          <t>Ban Video &amp; Truyền hình số</t>
        </is>
      </c>
      <c r="F207" s="16" t="inlineStr">
        <is>
          <t>Nhóm Đặng Minh</t>
        </is>
      </c>
      <c r="G207" s="16" t="inlineStr">
        <is>
          <t>TikTok</t>
        </is>
      </c>
      <c r="H207" s="16" t="inlineStr">
        <is>
          <t>Short Video (&lt;60s)</t>
        </is>
      </c>
      <c r="I207" s="16" t="inlineStr">
        <is>
          <t>Phóng sự Điều tra</t>
        </is>
      </c>
      <c r="J207" s="16" t="inlineStr">
        <is>
          <t>Thủ công (0%)</t>
        </is>
      </c>
      <c r="K207" s="17" t="n">
        <v>437039</v>
      </c>
      <c r="L207" s="17" t="n">
        <v>27314</v>
      </c>
      <c r="M207" s="18">
        <f>L207/K207</f>
        <v/>
      </c>
      <c r="N207" s="17" t="n">
        <v>29</v>
      </c>
      <c r="O207" s="18" t="n">
        <v>0.6378</v>
      </c>
      <c r="P207" s="17" t="n">
        <v>3250000</v>
      </c>
      <c r="Q207" s="17" t="n">
        <v>7300000</v>
      </c>
      <c r="R207" s="17">
        <f>Q207-P207</f>
        <v/>
      </c>
      <c r="S207" s="18">
        <f>(Q207-P207)/P207</f>
        <v/>
      </c>
      <c r="T207" s="14">
        <f>IF(AND(K207&gt;=50000, S207&gt;=0.35), "Vượt KPI", IF(AND(K207&gt;=20000, S207&gt;=0), "Đạt KPI", "Chưa đạt KPI"))</f>
        <v/>
      </c>
    </row>
    <row r="208">
      <c r="A208" s="10" t="inlineStr">
        <is>
          <t>SP-0205</t>
        </is>
      </c>
      <c r="B208" s="11" t="n">
        <v>46100</v>
      </c>
      <c r="C208" s="10" t="inlineStr">
        <is>
          <t>Tháng 03/2026</t>
        </is>
      </c>
      <c r="D208" s="10" t="inlineStr">
        <is>
          <t>Quý 1</t>
        </is>
      </c>
      <c r="E208" s="5" t="inlineStr">
        <is>
          <t>Ban Kinh tế - Tài chính</t>
        </is>
      </c>
      <c r="F208" s="5" t="inlineStr">
        <is>
          <t>Nhóm Lan Hương</t>
        </is>
      </c>
      <c r="G208" s="5" t="inlineStr">
        <is>
          <t>Facebook Page</t>
        </is>
      </c>
      <c r="H208" s="5" t="inlineStr">
        <is>
          <t>Video Bản tin (3-5p)</t>
        </is>
      </c>
      <c r="I208" s="5" t="inlineStr">
        <is>
          <t>Kinh tế - Thị trường</t>
        </is>
      </c>
      <c r="J208" s="5" t="inlineStr">
        <is>
          <t>Hỗ trợ sâu (40%)</t>
        </is>
      </c>
      <c r="K208" s="12" t="n">
        <v>141113</v>
      </c>
      <c r="L208" s="12" t="n">
        <v>4162</v>
      </c>
      <c r="M208" s="13">
        <f>L208/K208</f>
        <v/>
      </c>
      <c r="N208" s="12" t="n">
        <v>120</v>
      </c>
      <c r="O208" s="13" t="n">
        <v>0.4631</v>
      </c>
      <c r="P208" s="12" t="n">
        <v>2650000</v>
      </c>
      <c r="Q208" s="12" t="n">
        <v>4550000</v>
      </c>
      <c r="R208" s="12">
        <f>Q208-P208</f>
        <v/>
      </c>
      <c r="S208" s="13">
        <f>(Q208-P208)/P208</f>
        <v/>
      </c>
      <c r="T208" s="10">
        <f>IF(AND(K208&gt;=50000, S208&gt;=0.35), "Vượt KPI", IF(AND(K208&gt;=20000, S208&gt;=0), "Đạt KPI", "Chưa đạt KPI"))</f>
        <v/>
      </c>
    </row>
    <row r="209">
      <c r="A209" s="14" t="inlineStr">
        <is>
          <t>SP-0206</t>
        </is>
      </c>
      <c r="B209" s="15" t="n">
        <v>46077</v>
      </c>
      <c r="C209" s="14" t="inlineStr">
        <is>
          <t>Tháng 02/2026</t>
        </is>
      </c>
      <c r="D209" s="14" t="inlineStr">
        <is>
          <t>Quý 1</t>
        </is>
      </c>
      <c r="E209" s="16" t="inlineStr">
        <is>
          <t>Ban Video &amp; Truyền hình số</t>
        </is>
      </c>
      <c r="F209" s="16" t="inlineStr">
        <is>
          <t>Nhóm Quốc Bảo</t>
        </is>
      </c>
      <c r="G209" s="16" t="inlineStr">
        <is>
          <t>YouTube</t>
        </is>
      </c>
      <c r="H209" s="16" t="inlineStr">
        <is>
          <t>YouTube Long-form (10-25p)</t>
        </is>
      </c>
      <c r="I209" s="16" t="inlineStr">
        <is>
          <t>Kinh tế - Thị trường</t>
        </is>
      </c>
      <c r="J209" s="16" t="inlineStr">
        <is>
          <t>Thủ công (0%)</t>
        </is>
      </c>
      <c r="K209" s="17" t="n">
        <v>353231</v>
      </c>
      <c r="L209" s="17" t="n">
        <v>8477</v>
      </c>
      <c r="M209" s="18">
        <f>L209/K209</f>
        <v/>
      </c>
      <c r="N209" s="17" t="n">
        <v>574</v>
      </c>
      <c r="O209" s="18" t="n">
        <v>0.6577</v>
      </c>
      <c r="P209" s="17" t="n">
        <v>10550000</v>
      </c>
      <c r="Q209" s="17" t="n">
        <v>47750000</v>
      </c>
      <c r="R209" s="17">
        <f>Q209-P209</f>
        <v/>
      </c>
      <c r="S209" s="18">
        <f>(Q209-P209)/P209</f>
        <v/>
      </c>
      <c r="T209" s="14">
        <f>IF(AND(K209&gt;=50000, S209&gt;=0.35), "Vượt KPI", IF(AND(K209&gt;=20000, S209&gt;=0), "Đạt KPI", "Chưa đạt KPI"))</f>
        <v/>
      </c>
    </row>
    <row r="210">
      <c r="A210" s="10" t="inlineStr">
        <is>
          <t>SP-0207</t>
        </is>
      </c>
      <c r="B210" s="11" t="n">
        <v>46066</v>
      </c>
      <c r="C210" s="10" t="inlineStr">
        <is>
          <t>Tháng 02/2026</t>
        </is>
      </c>
      <c r="D210" s="10" t="inlineStr">
        <is>
          <t>Quý 1</t>
        </is>
      </c>
      <c r="E210" s="5" t="inlineStr">
        <is>
          <t>Ban Thời sự - Chính trị</t>
        </is>
      </c>
      <c r="F210" s="5" t="inlineStr">
        <is>
          <t>Nhóm Thanh Tâm</t>
        </is>
      </c>
      <c r="G210" s="5" t="inlineStr">
        <is>
          <t>Facebook Page</t>
        </is>
      </c>
      <c r="H210" s="5" t="inlineStr">
        <is>
          <t>Video Bản tin (3-5p)</t>
        </is>
      </c>
      <c r="I210" s="5" t="inlineStr">
        <is>
          <t>Công nghệ &amp; AI</t>
        </is>
      </c>
      <c r="J210" s="5" t="inlineStr">
        <is>
          <t>Cơ bản (15%)</t>
        </is>
      </c>
      <c r="K210" s="12" t="n">
        <v>112949</v>
      </c>
      <c r="L210" s="12" t="n">
        <v>6618</v>
      </c>
      <c r="M210" s="13">
        <f>L210/K210</f>
        <v/>
      </c>
      <c r="N210" s="12" t="n">
        <v>185</v>
      </c>
      <c r="O210" s="13" t="n">
        <v>0.6119</v>
      </c>
      <c r="P210" s="12" t="n">
        <v>3000000</v>
      </c>
      <c r="Q210" s="12" t="n">
        <v>1400000</v>
      </c>
      <c r="R210" s="12">
        <f>Q210-P210</f>
        <v/>
      </c>
      <c r="S210" s="13">
        <f>(Q210-P210)/P210</f>
        <v/>
      </c>
      <c r="T210" s="10">
        <f>IF(AND(K210&gt;=50000, S210&gt;=0.35), "Vượt KPI", IF(AND(K210&gt;=20000, S210&gt;=0), "Đạt KPI", "Chưa đạt KPI"))</f>
        <v/>
      </c>
    </row>
    <row r="211">
      <c r="A211" s="14" t="inlineStr">
        <is>
          <t>SP-0208</t>
        </is>
      </c>
      <c r="B211" s="15" t="n">
        <v>46048</v>
      </c>
      <c r="C211" s="14" t="inlineStr">
        <is>
          <t>Tháng 01/2026</t>
        </is>
      </c>
      <c r="D211" s="14" t="inlineStr">
        <is>
          <t>Quý 1</t>
        </is>
      </c>
      <c r="E211" s="16" t="inlineStr">
        <is>
          <t>Ban Đời sống - Giới trẻ</t>
        </is>
      </c>
      <c r="F211" s="16" t="inlineStr">
        <is>
          <t>Nhóm Phương Thảo</t>
        </is>
      </c>
      <c r="G211" s="16" t="inlineStr">
        <is>
          <t>YouTube</t>
        </is>
      </c>
      <c r="H211" s="16" t="inlineStr">
        <is>
          <t>YouTube Documentary (&gt;25p)</t>
        </is>
      </c>
      <c r="I211" s="16" t="inlineStr">
        <is>
          <t>Giáo dục &amp; Tuyển sinh</t>
        </is>
      </c>
      <c r="J211" s="16" t="inlineStr">
        <is>
          <t>Hỗ trợ sâu (40%)</t>
        </is>
      </c>
      <c r="K211" s="17" t="n">
        <v>206383</v>
      </c>
      <c r="L211" s="17" t="n">
        <v>6728</v>
      </c>
      <c r="M211" s="18">
        <f>L211/K211</f>
        <v/>
      </c>
      <c r="N211" s="17" t="n">
        <v>287</v>
      </c>
      <c r="O211" s="18" t="n">
        <v>0.3841</v>
      </c>
      <c r="P211" s="17" t="n">
        <v>10200000</v>
      </c>
      <c r="Q211" s="17" t="n">
        <v>22600000</v>
      </c>
      <c r="R211" s="17">
        <f>Q211-P211</f>
        <v/>
      </c>
      <c r="S211" s="18">
        <f>(Q211-P211)/P211</f>
        <v/>
      </c>
      <c r="T211" s="14">
        <f>IF(AND(K211&gt;=50000, S211&gt;=0.35), "Vượt KPI", IF(AND(K211&gt;=20000, S211&gt;=0), "Đạt KPI", "Chưa đạt KPI"))</f>
        <v/>
      </c>
    </row>
    <row r="212">
      <c r="A212" s="10" t="inlineStr">
        <is>
          <t>SP-0209</t>
        </is>
      </c>
      <c r="B212" s="11" t="n">
        <v>46103</v>
      </c>
      <c r="C212" s="10" t="inlineStr">
        <is>
          <t>Tháng 03/2026</t>
        </is>
      </c>
      <c r="D212" s="10" t="inlineStr">
        <is>
          <t>Quý 1</t>
        </is>
      </c>
      <c r="E212" s="5" t="inlineStr">
        <is>
          <t>Ban Công nghệ &amp; AI</t>
        </is>
      </c>
      <c r="F212" s="5" t="inlineStr">
        <is>
          <t>Nhóm Gia Hưng</t>
        </is>
      </c>
      <c r="G212" s="5" t="inlineStr">
        <is>
          <t>YouTube</t>
        </is>
      </c>
      <c r="H212" s="5" t="inlineStr">
        <is>
          <t>YouTube Long-form (10-25p)</t>
        </is>
      </c>
      <c r="I212" s="5" t="inlineStr">
        <is>
          <t>Giáo dục &amp; Tuyển sinh</t>
        </is>
      </c>
      <c r="J212" s="5" t="inlineStr">
        <is>
          <t>Hỗ trợ sâu (40%)</t>
        </is>
      </c>
      <c r="K212" s="12" t="n">
        <v>434027</v>
      </c>
      <c r="L212" s="12" t="n">
        <v>15624</v>
      </c>
      <c r="M212" s="13">
        <f>L212/K212</f>
        <v/>
      </c>
      <c r="N212" s="12" t="n">
        <v>741</v>
      </c>
      <c r="O212" s="13" t="n">
        <v>0.5702</v>
      </c>
      <c r="P212" s="12" t="n">
        <v>11850000</v>
      </c>
      <c r="Q212" s="12" t="n">
        <v>47800000</v>
      </c>
      <c r="R212" s="12">
        <f>Q212-P212</f>
        <v/>
      </c>
      <c r="S212" s="13">
        <f>(Q212-P212)/P212</f>
        <v/>
      </c>
      <c r="T212" s="10">
        <f>IF(AND(K212&gt;=50000, S212&gt;=0.35), "Vượt KPI", IF(AND(K212&gt;=20000, S212&gt;=0), "Đạt KPI", "Chưa đạt KPI"))</f>
        <v/>
      </c>
    </row>
    <row r="213">
      <c r="A213" s="14" t="inlineStr">
        <is>
          <t>SP-0210</t>
        </is>
      </c>
      <c r="B213" s="15" t="n">
        <v>46200</v>
      </c>
      <c r="C213" s="14" t="inlineStr">
        <is>
          <t>Tháng 06/2026</t>
        </is>
      </c>
      <c r="D213" s="14" t="inlineStr">
        <is>
          <t>Quý 2</t>
        </is>
      </c>
      <c r="E213" s="16" t="inlineStr">
        <is>
          <t>Ban Phóng sự - Điều tra</t>
        </is>
      </c>
      <c r="F213" s="16" t="inlineStr">
        <is>
          <t>Nhóm Khánh Linh</t>
        </is>
      </c>
      <c r="G213" s="16" t="inlineStr">
        <is>
          <t>Facebook Page</t>
        </is>
      </c>
      <c r="H213" s="16" t="inlineStr">
        <is>
          <t>Video Bản tin (3-5p)</t>
        </is>
      </c>
      <c r="I213" s="16" t="inlineStr">
        <is>
          <t>Đời sống - Xã hội</t>
        </is>
      </c>
      <c r="J213" s="16" t="inlineStr">
        <is>
          <t>Toàn trình (70%)</t>
        </is>
      </c>
      <c r="K213" s="17" t="n">
        <v>685345</v>
      </c>
      <c r="L213" s="17" t="n">
        <v>53731</v>
      </c>
      <c r="M213" s="18">
        <f>L213/K213</f>
        <v/>
      </c>
      <c r="N213" s="17" t="n">
        <v>66</v>
      </c>
      <c r="O213" s="18" t="n">
        <v>0.5447</v>
      </c>
      <c r="P213" s="17" t="n">
        <v>2750000</v>
      </c>
      <c r="Q213" s="17" t="n">
        <v>10300000</v>
      </c>
      <c r="R213" s="17">
        <f>Q213-P213</f>
        <v/>
      </c>
      <c r="S213" s="18">
        <f>(Q213-P213)/P213</f>
        <v/>
      </c>
      <c r="T213" s="14">
        <f>IF(AND(K213&gt;=50000, S213&gt;=0.35), "Vượt KPI", IF(AND(K213&gt;=20000, S213&gt;=0), "Đạt KPI", "Chưa đạt KPI"))</f>
        <v/>
      </c>
    </row>
    <row r="214">
      <c r="A214" s="10" t="inlineStr">
        <is>
          <t>SP-0211</t>
        </is>
      </c>
      <c r="B214" s="11" t="n">
        <v>46197</v>
      </c>
      <c r="C214" s="10" t="inlineStr">
        <is>
          <t>Tháng 06/2026</t>
        </is>
      </c>
      <c r="D214" s="10" t="inlineStr">
        <is>
          <t>Quý 2</t>
        </is>
      </c>
      <c r="E214" s="5" t="inlineStr">
        <is>
          <t>Ban Đời sống - Giới trẻ</t>
        </is>
      </c>
      <c r="F214" s="5" t="inlineStr">
        <is>
          <t>Nhóm Duy Khánh</t>
        </is>
      </c>
      <c r="G214" s="5" t="inlineStr">
        <is>
          <t>YouTube</t>
        </is>
      </c>
      <c r="H214" s="5" t="inlineStr">
        <is>
          <t>YouTube Shorts</t>
        </is>
      </c>
      <c r="I214" s="5" t="inlineStr">
        <is>
          <t>Phóng sự Điều tra</t>
        </is>
      </c>
      <c r="J214" s="5" t="inlineStr">
        <is>
          <t>Hỗ trợ sâu (40%)</t>
        </is>
      </c>
      <c r="K214" s="12" t="n">
        <v>462163</v>
      </c>
      <c r="L214" s="12" t="n">
        <v>20751</v>
      </c>
      <c r="M214" s="13">
        <f>L214/K214</f>
        <v/>
      </c>
      <c r="N214" s="12" t="n">
        <v>402</v>
      </c>
      <c r="O214" s="13" t="n">
        <v>0.7336</v>
      </c>
      <c r="P214" s="12" t="n">
        <v>17700000</v>
      </c>
      <c r="Q214" s="12" t="n">
        <v>51900000</v>
      </c>
      <c r="R214" s="12">
        <f>Q214-P214</f>
        <v/>
      </c>
      <c r="S214" s="13">
        <f>(Q214-P214)/P214</f>
        <v/>
      </c>
      <c r="T214" s="10">
        <f>IF(AND(K214&gt;=50000, S214&gt;=0.35), "Vượt KPI", IF(AND(K214&gt;=20000, S214&gt;=0), "Đạt KPI", "Chưa đạt KPI"))</f>
        <v/>
      </c>
    </row>
    <row r="215">
      <c r="A215" s="14" t="inlineStr">
        <is>
          <t>SP-0212</t>
        </is>
      </c>
      <c r="B215" s="15" t="n">
        <v>46121</v>
      </c>
      <c r="C215" s="14" t="inlineStr">
        <is>
          <t>Tháng 04/2026</t>
        </is>
      </c>
      <c r="D215" s="14" t="inlineStr">
        <is>
          <t>Quý 2</t>
        </is>
      </c>
      <c r="E215" s="16" t="inlineStr">
        <is>
          <t>Ban Phóng sự - Điều tra</t>
        </is>
      </c>
      <c r="F215" s="16" t="inlineStr">
        <is>
          <t>Nhóm Hải Đăng</t>
        </is>
      </c>
      <c r="G215" s="16" t="inlineStr">
        <is>
          <t>YouTube</t>
        </is>
      </c>
      <c r="H215" s="16" t="inlineStr">
        <is>
          <t>YouTube Shorts</t>
        </is>
      </c>
      <c r="I215" s="16" t="inlineStr">
        <is>
          <t>Phóng sự Điều tra</t>
        </is>
      </c>
      <c r="J215" s="16" t="inlineStr">
        <is>
          <t>Cơ bản (15%)</t>
        </is>
      </c>
      <c r="K215" s="17" t="n">
        <v>828782</v>
      </c>
      <c r="L215" s="17" t="n">
        <v>63567</v>
      </c>
      <c r="M215" s="18">
        <f>L215/K215</f>
        <v/>
      </c>
      <c r="N215" s="17" t="n">
        <v>590</v>
      </c>
      <c r="O215" s="18" t="n">
        <v>0.6288</v>
      </c>
      <c r="P215" s="17" t="n">
        <v>9850000</v>
      </c>
      <c r="Q215" s="17" t="n">
        <v>29850000</v>
      </c>
      <c r="R215" s="17">
        <f>Q215-P215</f>
        <v/>
      </c>
      <c r="S215" s="18">
        <f>(Q215-P215)/P215</f>
        <v/>
      </c>
      <c r="T215" s="14">
        <f>IF(AND(K215&gt;=50000, S215&gt;=0.35), "Vượt KPI", IF(AND(K215&gt;=20000, S215&gt;=0), "Đạt KPI", "Chưa đạt KPI"))</f>
        <v/>
      </c>
    </row>
    <row r="216">
      <c r="A216" s="10" t="inlineStr">
        <is>
          <t>SP-0213</t>
        </is>
      </c>
      <c r="B216" s="11" t="n">
        <v>46193</v>
      </c>
      <c r="C216" s="10" t="inlineStr">
        <is>
          <t>Tháng 06/2026</t>
        </is>
      </c>
      <c r="D216" s="10" t="inlineStr">
        <is>
          <t>Quý 2</t>
        </is>
      </c>
      <c r="E216" s="5" t="inlineStr">
        <is>
          <t>Ban Thời sự - Chính trị</t>
        </is>
      </c>
      <c r="F216" s="5" t="inlineStr">
        <is>
          <t>Nhóm Việt Anh</t>
        </is>
      </c>
      <c r="G216" s="5" t="inlineStr">
        <is>
          <t>TikTok</t>
        </is>
      </c>
      <c r="H216" s="5" t="inlineStr">
        <is>
          <t>TikTok Reel (1-3p)</t>
        </is>
      </c>
      <c r="I216" s="5" t="inlineStr">
        <is>
          <t>Đời sống - Xã hội</t>
        </is>
      </c>
      <c r="J216" s="5" t="inlineStr">
        <is>
          <t>Cơ bản (15%)</t>
        </is>
      </c>
      <c r="K216" s="12" t="n">
        <v>116700</v>
      </c>
      <c r="L216" s="12" t="n">
        <v>6185</v>
      </c>
      <c r="M216" s="13">
        <f>L216/K216</f>
        <v/>
      </c>
      <c r="N216" s="12" t="n">
        <v>23</v>
      </c>
      <c r="O216" s="13" t="n">
        <v>0.5528999999999999</v>
      </c>
      <c r="P216" s="12" t="n">
        <v>3200000</v>
      </c>
      <c r="Q216" s="12" t="n">
        <v>9200000</v>
      </c>
      <c r="R216" s="12">
        <f>Q216-P216</f>
        <v/>
      </c>
      <c r="S216" s="13">
        <f>(Q216-P216)/P216</f>
        <v/>
      </c>
      <c r="T216" s="10">
        <f>IF(AND(K216&gt;=50000, S216&gt;=0.35), "Vượt KPI", IF(AND(K216&gt;=20000, S216&gt;=0), "Đạt KPI", "Chưa đạt KPI"))</f>
        <v/>
      </c>
    </row>
    <row r="217">
      <c r="A217" s="14" t="inlineStr">
        <is>
          <t>SP-0214</t>
        </is>
      </c>
      <c r="B217" s="15" t="n">
        <v>46201</v>
      </c>
      <c r="C217" s="14" t="inlineStr">
        <is>
          <t>Tháng 06/2026</t>
        </is>
      </c>
      <c r="D217" s="14" t="inlineStr">
        <is>
          <t>Quý 2</t>
        </is>
      </c>
      <c r="E217" s="16" t="inlineStr">
        <is>
          <t>Ban Thời sự - Chính trị</t>
        </is>
      </c>
      <c r="F217" s="16" t="inlineStr">
        <is>
          <t>Nhóm Quang Huy</t>
        </is>
      </c>
      <c r="G217" s="16" t="inlineStr">
        <is>
          <t>Facebook Page</t>
        </is>
      </c>
      <c r="H217" s="16" t="inlineStr">
        <is>
          <t>Facebook Reels</t>
        </is>
      </c>
      <c r="I217" s="16" t="inlineStr">
        <is>
          <t>Phóng sự Điều tra</t>
        </is>
      </c>
      <c r="J217" s="16" t="inlineStr">
        <is>
          <t>Hỗ trợ sâu (40%)</t>
        </is>
      </c>
      <c r="K217" s="17" t="n">
        <v>177958</v>
      </c>
      <c r="L217" s="17" t="n">
        <v>9378</v>
      </c>
      <c r="M217" s="18">
        <f>L217/K217</f>
        <v/>
      </c>
      <c r="N217" s="17" t="n">
        <v>63</v>
      </c>
      <c r="O217" s="18" t="n">
        <v>0.7045</v>
      </c>
      <c r="P217" s="17" t="n">
        <v>1850000</v>
      </c>
      <c r="Q217" s="17" t="n">
        <v>6700000</v>
      </c>
      <c r="R217" s="17">
        <f>Q217-P217</f>
        <v/>
      </c>
      <c r="S217" s="18">
        <f>(Q217-P217)/P217</f>
        <v/>
      </c>
      <c r="T217" s="14">
        <f>IF(AND(K217&gt;=50000, S217&gt;=0.35), "Vượt KPI", IF(AND(K217&gt;=20000, S217&gt;=0), "Đạt KPI", "Chưa đạt KPI"))</f>
        <v/>
      </c>
    </row>
    <row r="218">
      <c r="A218" s="10" t="inlineStr">
        <is>
          <t>SP-0215</t>
        </is>
      </c>
      <c r="B218" s="11" t="n">
        <v>46162</v>
      </c>
      <c r="C218" s="10" t="inlineStr">
        <is>
          <t>Tháng 05/2026</t>
        </is>
      </c>
      <c r="D218" s="10" t="inlineStr">
        <is>
          <t>Quý 2</t>
        </is>
      </c>
      <c r="E218" s="5" t="inlineStr">
        <is>
          <t>Ban Đời sống - Giới trẻ</t>
        </is>
      </c>
      <c r="F218" s="5" t="inlineStr">
        <is>
          <t>Nhóm Duy Khánh</t>
        </is>
      </c>
      <c r="G218" s="5" t="inlineStr">
        <is>
          <t>Báo Điện tử (Web)</t>
        </is>
      </c>
      <c r="H218" s="5" t="inlineStr">
        <is>
          <t>Tin bài Đa phương tiện</t>
        </is>
      </c>
      <c r="I218" s="5" t="inlineStr">
        <is>
          <t>Chính sách &amp; Pháp luật</t>
        </is>
      </c>
      <c r="J218" s="5" t="inlineStr">
        <is>
          <t>Cơ bản (15%)</t>
        </is>
      </c>
      <c r="K218" s="12" t="n">
        <v>145494</v>
      </c>
      <c r="L218" s="12" t="n">
        <v>13574</v>
      </c>
      <c r="M218" s="13">
        <f>L218/K218</f>
        <v/>
      </c>
      <c r="N218" s="12" t="n">
        <v>261</v>
      </c>
      <c r="O218" s="13" t="n">
        <v>0.4877</v>
      </c>
      <c r="P218" s="12" t="n">
        <v>5600000</v>
      </c>
      <c r="Q218" s="12" t="n">
        <v>6500000</v>
      </c>
      <c r="R218" s="12">
        <f>Q218-P218</f>
        <v/>
      </c>
      <c r="S218" s="13">
        <f>(Q218-P218)/P218</f>
        <v/>
      </c>
      <c r="T218" s="10">
        <f>IF(AND(K218&gt;=50000, S218&gt;=0.35), "Vượt KPI", IF(AND(K218&gt;=20000, S218&gt;=0), "Đạt KPI", "Chưa đạt KPI"))</f>
        <v/>
      </c>
    </row>
    <row r="219">
      <c r="A219" s="14" t="inlineStr">
        <is>
          <t>SP-0216</t>
        </is>
      </c>
      <c r="B219" s="15" t="n">
        <v>46100</v>
      </c>
      <c r="C219" s="14" t="inlineStr">
        <is>
          <t>Tháng 03/2026</t>
        </is>
      </c>
      <c r="D219" s="14" t="inlineStr">
        <is>
          <t>Quý 1</t>
        </is>
      </c>
      <c r="E219" s="16" t="inlineStr">
        <is>
          <t>Ban Kinh tế - Tài chính</t>
        </is>
      </c>
      <c r="F219" s="16" t="inlineStr">
        <is>
          <t>Nhóm Đức Thịnh</t>
        </is>
      </c>
      <c r="G219" s="16" t="inlineStr">
        <is>
          <t>YouTube</t>
        </is>
      </c>
      <c r="H219" s="16" t="inlineStr">
        <is>
          <t>YouTube Shorts</t>
        </is>
      </c>
      <c r="I219" s="16" t="inlineStr">
        <is>
          <t>Kinh tế - Thị trường</t>
        </is>
      </c>
      <c r="J219" s="16" t="inlineStr">
        <is>
          <t>Toàn trình (70%)</t>
        </is>
      </c>
      <c r="K219" s="17" t="n">
        <v>571678</v>
      </c>
      <c r="L219" s="17" t="n">
        <v>35844</v>
      </c>
      <c r="M219" s="18">
        <f>L219/K219</f>
        <v/>
      </c>
      <c r="N219" s="17" t="n">
        <v>118</v>
      </c>
      <c r="O219" s="18" t="n">
        <v>0.66</v>
      </c>
      <c r="P219" s="17" t="n">
        <v>3650000</v>
      </c>
      <c r="Q219" s="17" t="n">
        <v>17300000</v>
      </c>
      <c r="R219" s="17">
        <f>Q219-P219</f>
        <v/>
      </c>
      <c r="S219" s="18">
        <f>(Q219-P219)/P219</f>
        <v/>
      </c>
      <c r="T219" s="14">
        <f>IF(AND(K219&gt;=50000, S219&gt;=0.35), "Vượt KPI", IF(AND(K219&gt;=20000, S219&gt;=0), "Đạt KPI", "Chưa đạt KPI"))</f>
        <v/>
      </c>
    </row>
    <row r="220">
      <c r="A220" s="10" t="inlineStr">
        <is>
          <t>SP-0217</t>
        </is>
      </c>
      <c r="B220" s="11" t="n">
        <v>46091</v>
      </c>
      <c r="C220" s="10" t="inlineStr">
        <is>
          <t>Tháng 03/2026</t>
        </is>
      </c>
      <c r="D220" s="10" t="inlineStr">
        <is>
          <t>Quý 1</t>
        </is>
      </c>
      <c r="E220" s="5" t="inlineStr">
        <is>
          <t>Ban Đời sống - Giới trẻ</t>
        </is>
      </c>
      <c r="F220" s="5" t="inlineStr">
        <is>
          <t>Nhóm Duy Khánh</t>
        </is>
      </c>
      <c r="G220" s="5" t="inlineStr">
        <is>
          <t>Báo Điện tử (Web)</t>
        </is>
      </c>
      <c r="H220" s="5" t="inlineStr">
        <is>
          <t>Longform / E-magazine</t>
        </is>
      </c>
      <c r="I220" s="5" t="inlineStr">
        <is>
          <t>Công nghệ &amp; AI</t>
        </is>
      </c>
      <c r="J220" s="5" t="inlineStr">
        <is>
          <t>Thủ công (0%)</t>
        </is>
      </c>
      <c r="K220" s="12" t="n">
        <v>270472</v>
      </c>
      <c r="L220" s="12" t="n">
        <v>10007</v>
      </c>
      <c r="M220" s="13">
        <f>L220/K220</f>
        <v/>
      </c>
      <c r="N220" s="12" t="n">
        <v>126</v>
      </c>
      <c r="O220" s="13" t="n">
        <v>0.6722</v>
      </c>
      <c r="P220" s="12" t="n">
        <v>4700000</v>
      </c>
      <c r="Q220" s="12" t="n">
        <v>5800000</v>
      </c>
      <c r="R220" s="12">
        <f>Q220-P220</f>
        <v/>
      </c>
      <c r="S220" s="13">
        <f>(Q220-P220)/P220</f>
        <v/>
      </c>
      <c r="T220" s="10">
        <f>IF(AND(K220&gt;=50000, S220&gt;=0.35), "Vượt KPI", IF(AND(K220&gt;=20000, S220&gt;=0), "Đạt KPI", "Chưa đạt KPI"))</f>
        <v/>
      </c>
    </row>
    <row r="221">
      <c r="A221" s="14" t="inlineStr">
        <is>
          <t>SP-0218</t>
        </is>
      </c>
      <c r="B221" s="15" t="n">
        <v>46094</v>
      </c>
      <c r="C221" s="14" t="inlineStr">
        <is>
          <t>Tháng 03/2026</t>
        </is>
      </c>
      <c r="D221" s="14" t="inlineStr">
        <is>
          <t>Quý 1</t>
        </is>
      </c>
      <c r="E221" s="16" t="inlineStr">
        <is>
          <t>Ban Đời sống - Giới trẻ</t>
        </is>
      </c>
      <c r="F221" s="16" t="inlineStr">
        <is>
          <t>Nhóm Duy Khánh</t>
        </is>
      </c>
      <c r="G221" s="16" t="inlineStr">
        <is>
          <t>YouTube</t>
        </is>
      </c>
      <c r="H221" s="16" t="inlineStr">
        <is>
          <t>YouTube Shorts</t>
        </is>
      </c>
      <c r="I221" s="16" t="inlineStr">
        <is>
          <t>Giáo dục &amp; Tuyển sinh</t>
        </is>
      </c>
      <c r="J221" s="16" t="inlineStr">
        <is>
          <t>Toàn trình (70%)</t>
        </is>
      </c>
      <c r="K221" s="17" t="n">
        <v>337677</v>
      </c>
      <c r="L221" s="17" t="n">
        <v>10332</v>
      </c>
      <c r="M221" s="18">
        <f>L221/K221</f>
        <v/>
      </c>
      <c r="N221" s="17" t="n">
        <v>220</v>
      </c>
      <c r="O221" s="18" t="n">
        <v>0.7801</v>
      </c>
      <c r="P221" s="17" t="n">
        <v>7650000</v>
      </c>
      <c r="Q221" s="17" t="n">
        <v>19300000</v>
      </c>
      <c r="R221" s="17">
        <f>Q221-P221</f>
        <v/>
      </c>
      <c r="S221" s="18">
        <f>(Q221-P221)/P221</f>
        <v/>
      </c>
      <c r="T221" s="14">
        <f>IF(AND(K221&gt;=50000, S221&gt;=0.35), "Vượt KPI", IF(AND(K221&gt;=20000, S221&gt;=0), "Đạt KPI", "Chưa đạt KPI"))</f>
        <v/>
      </c>
    </row>
    <row r="222">
      <c r="A222" s="10" t="inlineStr">
        <is>
          <t>SP-0219</t>
        </is>
      </c>
      <c r="B222" s="11" t="n">
        <v>46104</v>
      </c>
      <c r="C222" s="10" t="inlineStr">
        <is>
          <t>Tháng 03/2026</t>
        </is>
      </c>
      <c r="D222" s="10" t="inlineStr">
        <is>
          <t>Quý 1</t>
        </is>
      </c>
      <c r="E222" s="5" t="inlineStr">
        <is>
          <t>Ban Công nghệ &amp; AI</t>
        </is>
      </c>
      <c r="F222" s="5" t="inlineStr">
        <is>
          <t>Nhóm Tuấn Kiệt</t>
        </is>
      </c>
      <c r="G222" s="5" t="inlineStr">
        <is>
          <t>Báo Điện tử (Web)</t>
        </is>
      </c>
      <c r="H222" s="5" t="inlineStr">
        <is>
          <t>Tin bài Đa phương tiện</t>
        </is>
      </c>
      <c r="I222" s="5" t="inlineStr">
        <is>
          <t>Giáo dục &amp; Tuyển sinh</t>
        </is>
      </c>
      <c r="J222" s="5" t="inlineStr">
        <is>
          <t>Toàn trình (70%)</t>
        </is>
      </c>
      <c r="K222" s="12" t="n">
        <v>9179</v>
      </c>
      <c r="L222" s="12" t="n">
        <v>489</v>
      </c>
      <c r="M222" s="13">
        <f>L222/K222</f>
        <v/>
      </c>
      <c r="N222" s="12" t="n">
        <v>133</v>
      </c>
      <c r="O222" s="13" t="n">
        <v>0.6347</v>
      </c>
      <c r="P222" s="12" t="n">
        <v>1000000</v>
      </c>
      <c r="Q222" s="12" t="n">
        <v>600000</v>
      </c>
      <c r="R222" s="12">
        <f>Q222-P222</f>
        <v/>
      </c>
      <c r="S222" s="13">
        <f>(Q222-P222)/P222</f>
        <v/>
      </c>
      <c r="T222" s="10">
        <f>IF(AND(K222&gt;=50000, S222&gt;=0.35), "Vượt KPI", IF(AND(K222&gt;=20000, S222&gt;=0), "Đạt KPI", "Chưa đạt KPI"))</f>
        <v/>
      </c>
    </row>
    <row r="223">
      <c r="A223" s="14" t="inlineStr">
        <is>
          <t>SP-0220</t>
        </is>
      </c>
      <c r="B223" s="15" t="n">
        <v>46049</v>
      </c>
      <c r="C223" s="14" t="inlineStr">
        <is>
          <t>Tháng 01/2026</t>
        </is>
      </c>
      <c r="D223" s="14" t="inlineStr">
        <is>
          <t>Quý 1</t>
        </is>
      </c>
      <c r="E223" s="16" t="inlineStr">
        <is>
          <t>Ban Kinh tế - Tài chính</t>
        </is>
      </c>
      <c r="F223" s="16" t="inlineStr">
        <is>
          <t>Nhóm Đức Thịnh</t>
        </is>
      </c>
      <c r="G223" s="16" t="inlineStr">
        <is>
          <t>TikTok</t>
        </is>
      </c>
      <c r="H223" s="16" t="inlineStr">
        <is>
          <t>TikTok Reel (1-3p)</t>
        </is>
      </c>
      <c r="I223" s="16" t="inlineStr">
        <is>
          <t>Tài chính Cá nhân &amp; Đầu tư</t>
        </is>
      </c>
      <c r="J223" s="16" t="inlineStr">
        <is>
          <t>Cơ bản (15%)</t>
        </is>
      </c>
      <c r="K223" s="17" t="n">
        <v>223779</v>
      </c>
      <c r="L223" s="17" t="n">
        <v>20833</v>
      </c>
      <c r="M223" s="18">
        <f>L223/K223</f>
        <v/>
      </c>
      <c r="N223" s="17" t="n">
        <v>20</v>
      </c>
      <c r="O223" s="18" t="n">
        <v>0.5464</v>
      </c>
      <c r="P223" s="17" t="n">
        <v>2950000</v>
      </c>
      <c r="Q223" s="17" t="n">
        <v>6050000</v>
      </c>
      <c r="R223" s="17">
        <f>Q223-P223</f>
        <v/>
      </c>
      <c r="S223" s="18">
        <f>(Q223-P223)/P223</f>
        <v/>
      </c>
      <c r="T223" s="14">
        <f>IF(AND(K223&gt;=50000, S223&gt;=0.35), "Vượt KPI", IF(AND(K223&gt;=20000, S223&gt;=0), "Đạt KPI", "Chưa đạt KPI"))</f>
        <v/>
      </c>
    </row>
    <row r="224">
      <c r="A224" s="10" t="inlineStr">
        <is>
          <t>SP-0221</t>
        </is>
      </c>
      <c r="B224" s="11" t="n">
        <v>46092</v>
      </c>
      <c r="C224" s="10" t="inlineStr">
        <is>
          <t>Tháng 03/2026</t>
        </is>
      </c>
      <c r="D224" s="10" t="inlineStr">
        <is>
          <t>Quý 1</t>
        </is>
      </c>
      <c r="E224" s="5" t="inlineStr">
        <is>
          <t>Ban Phóng sự - Điều tra</t>
        </is>
      </c>
      <c r="F224" s="5" t="inlineStr">
        <is>
          <t>Nhóm Khánh Linh</t>
        </is>
      </c>
      <c r="G224" s="5" t="inlineStr">
        <is>
          <t>YouTube</t>
        </is>
      </c>
      <c r="H224" s="5" t="inlineStr">
        <is>
          <t>YouTube Shorts</t>
        </is>
      </c>
      <c r="I224" s="5" t="inlineStr">
        <is>
          <t>Chính sách &amp; Pháp luật</t>
        </is>
      </c>
      <c r="J224" s="5" t="inlineStr">
        <is>
          <t>Hỗ trợ sâu (40%)</t>
        </is>
      </c>
      <c r="K224" s="12" t="n">
        <v>384122</v>
      </c>
      <c r="L224" s="12" t="n">
        <v>33610</v>
      </c>
      <c r="M224" s="13">
        <f>L224/K224</f>
        <v/>
      </c>
      <c r="N224" s="12" t="n">
        <v>761</v>
      </c>
      <c r="O224" s="13" t="n">
        <v>0.5125999999999999</v>
      </c>
      <c r="P224" s="12" t="n">
        <v>6750000</v>
      </c>
      <c r="Q224" s="12" t="n">
        <v>29050000</v>
      </c>
      <c r="R224" s="12">
        <f>Q224-P224</f>
        <v/>
      </c>
      <c r="S224" s="13">
        <f>(Q224-P224)/P224</f>
        <v/>
      </c>
      <c r="T224" s="10">
        <f>IF(AND(K224&gt;=50000, S224&gt;=0.35), "Vượt KPI", IF(AND(K224&gt;=20000, S224&gt;=0), "Đạt KPI", "Chưa đạt KPI"))</f>
        <v/>
      </c>
    </row>
    <row r="225">
      <c r="A225" s="14" t="inlineStr">
        <is>
          <t>SP-0222</t>
        </is>
      </c>
      <c r="B225" s="15" t="n">
        <v>46070</v>
      </c>
      <c r="C225" s="14" t="inlineStr">
        <is>
          <t>Tháng 02/2026</t>
        </is>
      </c>
      <c r="D225" s="14" t="inlineStr">
        <is>
          <t>Quý 1</t>
        </is>
      </c>
      <c r="E225" s="16" t="inlineStr">
        <is>
          <t>Ban Kinh tế - Tài chính</t>
        </is>
      </c>
      <c r="F225" s="16" t="inlineStr">
        <is>
          <t>Nhóm Lan Hương</t>
        </is>
      </c>
      <c r="G225" s="16" t="inlineStr">
        <is>
          <t>TikTok</t>
        </is>
      </c>
      <c r="H225" s="16" t="inlineStr">
        <is>
          <t>Short Video (&lt;60s)</t>
        </is>
      </c>
      <c r="I225" s="16" t="inlineStr">
        <is>
          <t>Tài chính Cá nhân &amp; Đầu tư</t>
        </is>
      </c>
      <c r="J225" s="16" t="inlineStr">
        <is>
          <t>Hỗ trợ sâu (40%)</t>
        </is>
      </c>
      <c r="K225" s="17" t="n">
        <v>699711</v>
      </c>
      <c r="L225" s="17" t="n">
        <v>48489</v>
      </c>
      <c r="M225" s="18">
        <f>L225/K225</f>
        <v/>
      </c>
      <c r="N225" s="17" t="n">
        <v>24</v>
      </c>
      <c r="O225" s="18" t="n">
        <v>0.4263</v>
      </c>
      <c r="P225" s="17" t="n">
        <v>2300000</v>
      </c>
      <c r="Q225" s="17" t="n">
        <v>7650000</v>
      </c>
      <c r="R225" s="17">
        <f>Q225-P225</f>
        <v/>
      </c>
      <c r="S225" s="18">
        <f>(Q225-P225)/P225</f>
        <v/>
      </c>
      <c r="T225" s="14">
        <f>IF(AND(K225&gt;=50000, S225&gt;=0.35), "Vượt KPI", IF(AND(K225&gt;=20000, S225&gt;=0), "Đạt KPI", "Chưa đạt KPI"))</f>
        <v/>
      </c>
    </row>
    <row r="226">
      <c r="A226" s="10" t="inlineStr">
        <is>
          <t>SP-0223</t>
        </is>
      </c>
      <c r="B226" s="11" t="n">
        <v>46033</v>
      </c>
      <c r="C226" s="10" t="inlineStr">
        <is>
          <t>Tháng 01/2026</t>
        </is>
      </c>
      <c r="D226" s="10" t="inlineStr">
        <is>
          <t>Quý 1</t>
        </is>
      </c>
      <c r="E226" s="5" t="inlineStr">
        <is>
          <t>Ban Kinh tế - Tài chính</t>
        </is>
      </c>
      <c r="F226" s="5" t="inlineStr">
        <is>
          <t>Nhóm Lan Hương</t>
        </is>
      </c>
      <c r="G226" s="5" t="inlineStr">
        <is>
          <t>YouTube</t>
        </is>
      </c>
      <c r="H226" s="5" t="inlineStr">
        <is>
          <t>YouTube Long-form (10-25p)</t>
        </is>
      </c>
      <c r="I226" s="5" t="inlineStr">
        <is>
          <t>Kinh tế - Thị trường</t>
        </is>
      </c>
      <c r="J226" s="5" t="inlineStr">
        <is>
          <t>Hỗ trợ sâu (40%)</t>
        </is>
      </c>
      <c r="K226" s="12" t="n">
        <v>466414</v>
      </c>
      <c r="L226" s="12" t="n">
        <v>19496</v>
      </c>
      <c r="M226" s="13">
        <f>L226/K226</f>
        <v/>
      </c>
      <c r="N226" s="12" t="n">
        <v>436</v>
      </c>
      <c r="O226" s="13" t="n">
        <v>0.7621</v>
      </c>
      <c r="P226" s="12" t="n">
        <v>9550000</v>
      </c>
      <c r="Q226" s="12" t="n">
        <v>23450000</v>
      </c>
      <c r="R226" s="12">
        <f>Q226-P226</f>
        <v/>
      </c>
      <c r="S226" s="13">
        <f>(Q226-P226)/P226</f>
        <v/>
      </c>
      <c r="T226" s="10">
        <f>IF(AND(K226&gt;=50000, S226&gt;=0.35), "Vượt KPI", IF(AND(K226&gt;=20000, S226&gt;=0), "Đạt KPI", "Chưa đạt KPI"))</f>
        <v/>
      </c>
    </row>
    <row r="227">
      <c r="A227" s="14" t="inlineStr">
        <is>
          <t>SP-0224</t>
        </is>
      </c>
      <c r="B227" s="15" t="n">
        <v>46103</v>
      </c>
      <c r="C227" s="14" t="inlineStr">
        <is>
          <t>Tháng 03/2026</t>
        </is>
      </c>
      <c r="D227" s="14" t="inlineStr">
        <is>
          <t>Quý 1</t>
        </is>
      </c>
      <c r="E227" s="16" t="inlineStr">
        <is>
          <t>Ban Kinh tế - Tài chính</t>
        </is>
      </c>
      <c r="F227" s="16" t="inlineStr">
        <is>
          <t>Nhóm Lan Hương</t>
        </is>
      </c>
      <c r="G227" s="16" t="inlineStr">
        <is>
          <t>Podcast / Audio</t>
        </is>
      </c>
      <c r="H227" s="16" t="inlineStr">
        <is>
          <t>Điểm tin Audio AI (5p)</t>
        </is>
      </c>
      <c r="I227" s="16" t="inlineStr">
        <is>
          <t>Chính sách &amp; Pháp luật</t>
        </is>
      </c>
      <c r="J227" s="16" t="inlineStr">
        <is>
          <t>Cơ bản (15%)</t>
        </is>
      </c>
      <c r="K227" s="17" t="n">
        <v>31587</v>
      </c>
      <c r="L227" s="17" t="n">
        <v>1288</v>
      </c>
      <c r="M227" s="18">
        <f>L227/K227</f>
        <v/>
      </c>
      <c r="N227" s="17" t="n">
        <v>420</v>
      </c>
      <c r="O227" s="18" t="n">
        <v>0.4239</v>
      </c>
      <c r="P227" s="17" t="n">
        <v>950000</v>
      </c>
      <c r="Q227" s="17" t="n">
        <v>750000</v>
      </c>
      <c r="R227" s="17">
        <f>Q227-P227</f>
        <v/>
      </c>
      <c r="S227" s="18">
        <f>(Q227-P227)/P227</f>
        <v/>
      </c>
      <c r="T227" s="14">
        <f>IF(AND(K227&gt;=50000, S227&gt;=0.35), "Vượt KPI", IF(AND(K227&gt;=20000, S227&gt;=0), "Đạt KPI", "Chưa đạt KPI"))</f>
        <v/>
      </c>
    </row>
    <row r="228">
      <c r="A228" s="10" t="inlineStr">
        <is>
          <t>SP-0225</t>
        </is>
      </c>
      <c r="B228" s="11" t="n">
        <v>46191</v>
      </c>
      <c r="C228" s="10" t="inlineStr">
        <is>
          <t>Tháng 06/2026</t>
        </is>
      </c>
      <c r="D228" s="10" t="inlineStr">
        <is>
          <t>Quý 2</t>
        </is>
      </c>
      <c r="E228" s="5" t="inlineStr">
        <is>
          <t>Ban Kinh tế - Tài chính</t>
        </is>
      </c>
      <c r="F228" s="5" t="inlineStr">
        <is>
          <t>Nhóm Minh Tuấn</t>
        </is>
      </c>
      <c r="G228" s="5" t="inlineStr">
        <is>
          <t>Báo Điện tử (Web)</t>
        </is>
      </c>
      <c r="H228" s="5" t="inlineStr">
        <is>
          <t>Tin bài Đa phương tiện</t>
        </is>
      </c>
      <c r="I228" s="5" t="inlineStr">
        <is>
          <t>Tài chính Cá nhân &amp; Đầu tư</t>
        </is>
      </c>
      <c r="J228" s="5" t="inlineStr">
        <is>
          <t>Cơ bản (15%)</t>
        </is>
      </c>
      <c r="K228" s="12" t="n">
        <v>84118</v>
      </c>
      <c r="L228" s="12" t="n">
        <v>6216</v>
      </c>
      <c r="M228" s="13">
        <f>L228/K228</f>
        <v/>
      </c>
      <c r="N228" s="12" t="n">
        <v>123</v>
      </c>
      <c r="O228" s="13" t="n">
        <v>0.7017</v>
      </c>
      <c r="P228" s="12" t="n">
        <v>2350000</v>
      </c>
      <c r="Q228" s="12" t="n">
        <v>1600000</v>
      </c>
      <c r="R228" s="12">
        <f>Q228-P228</f>
        <v/>
      </c>
      <c r="S228" s="13">
        <f>(Q228-P228)/P228</f>
        <v/>
      </c>
      <c r="T228" s="10">
        <f>IF(AND(K228&gt;=50000, S228&gt;=0.35), "Vượt KPI", IF(AND(K228&gt;=20000, S228&gt;=0), "Đạt KPI", "Chưa đạt KPI"))</f>
        <v/>
      </c>
    </row>
    <row r="229">
      <c r="A229" s="14" t="inlineStr">
        <is>
          <t>SP-0226</t>
        </is>
      </c>
      <c r="B229" s="15" t="n">
        <v>46083</v>
      </c>
      <c r="C229" s="14" t="inlineStr">
        <is>
          <t>Tháng 03/2026</t>
        </is>
      </c>
      <c r="D229" s="14" t="inlineStr">
        <is>
          <t>Quý 1</t>
        </is>
      </c>
      <c r="E229" s="16" t="inlineStr">
        <is>
          <t>Ban Video &amp; Truyền hình số</t>
        </is>
      </c>
      <c r="F229" s="16" t="inlineStr">
        <is>
          <t>Nhóm Thu Trang</t>
        </is>
      </c>
      <c r="G229" s="16" t="inlineStr">
        <is>
          <t>YouTube</t>
        </is>
      </c>
      <c r="H229" s="16" t="inlineStr">
        <is>
          <t>YouTube Documentary (&gt;25p)</t>
        </is>
      </c>
      <c r="I229" s="16" t="inlineStr">
        <is>
          <t>Đời sống - Xã hội</t>
        </is>
      </c>
      <c r="J229" s="16" t="inlineStr">
        <is>
          <t>Thủ công (0%)</t>
        </is>
      </c>
      <c r="K229" s="17" t="n">
        <v>628593</v>
      </c>
      <c r="L229" s="17" t="n">
        <v>56259</v>
      </c>
      <c r="M229" s="18">
        <f>L229/K229</f>
        <v/>
      </c>
      <c r="N229" s="17" t="n">
        <v>766</v>
      </c>
      <c r="O229" s="18" t="n">
        <v>0.416</v>
      </c>
      <c r="P229" s="17" t="n">
        <v>20850000</v>
      </c>
      <c r="Q229" s="17" t="n">
        <v>45200000</v>
      </c>
      <c r="R229" s="17">
        <f>Q229-P229</f>
        <v/>
      </c>
      <c r="S229" s="18">
        <f>(Q229-P229)/P229</f>
        <v/>
      </c>
      <c r="T229" s="14">
        <f>IF(AND(K229&gt;=50000, S229&gt;=0.35), "Vượt KPI", IF(AND(K229&gt;=20000, S229&gt;=0), "Đạt KPI", "Chưa đạt KPI"))</f>
        <v/>
      </c>
    </row>
    <row r="230">
      <c r="A230" s="10" t="inlineStr">
        <is>
          <t>SP-0227</t>
        </is>
      </c>
      <c r="B230" s="11" t="n">
        <v>46138</v>
      </c>
      <c r="C230" s="10" t="inlineStr">
        <is>
          <t>Tháng 04/2026</t>
        </is>
      </c>
      <c r="D230" s="10" t="inlineStr">
        <is>
          <t>Quý 2</t>
        </is>
      </c>
      <c r="E230" s="5" t="inlineStr">
        <is>
          <t>Ban Kinh tế - Tài chính</t>
        </is>
      </c>
      <c r="F230" s="5" t="inlineStr">
        <is>
          <t>Nhóm Đức Thịnh</t>
        </is>
      </c>
      <c r="G230" s="5" t="inlineStr">
        <is>
          <t>TikTok</t>
        </is>
      </c>
      <c r="H230" s="5" t="inlineStr">
        <is>
          <t>Short Video (&lt;60s)</t>
        </is>
      </c>
      <c r="I230" s="5" t="inlineStr">
        <is>
          <t>Tài chính Cá nhân &amp; Đầu tư</t>
        </is>
      </c>
      <c r="J230" s="5" t="inlineStr">
        <is>
          <t>Hỗ trợ sâu (40%)</t>
        </is>
      </c>
      <c r="K230" s="12" t="n">
        <v>304636</v>
      </c>
      <c r="L230" s="12" t="n">
        <v>34088</v>
      </c>
      <c r="M230" s="13">
        <f>L230/K230</f>
        <v/>
      </c>
      <c r="N230" s="12" t="n">
        <v>65</v>
      </c>
      <c r="O230" s="13" t="n">
        <v>0.7363</v>
      </c>
      <c r="P230" s="12" t="n">
        <v>1200000</v>
      </c>
      <c r="Q230" s="12" t="n">
        <v>3750000</v>
      </c>
      <c r="R230" s="12">
        <f>Q230-P230</f>
        <v/>
      </c>
      <c r="S230" s="13">
        <f>(Q230-P230)/P230</f>
        <v/>
      </c>
      <c r="T230" s="10">
        <f>IF(AND(K230&gt;=50000, S230&gt;=0.35), "Vượt KPI", IF(AND(K230&gt;=20000, S230&gt;=0), "Đạt KPI", "Chưa đạt KPI"))</f>
        <v/>
      </c>
    </row>
    <row r="231">
      <c r="A231" s="14" t="inlineStr">
        <is>
          <t>SP-0228</t>
        </is>
      </c>
      <c r="B231" s="15" t="n">
        <v>46090</v>
      </c>
      <c r="C231" s="14" t="inlineStr">
        <is>
          <t>Tháng 03/2026</t>
        </is>
      </c>
      <c r="D231" s="14" t="inlineStr">
        <is>
          <t>Quý 1</t>
        </is>
      </c>
      <c r="E231" s="16" t="inlineStr">
        <is>
          <t>Ban Video &amp; Truyền hình số</t>
        </is>
      </c>
      <c r="F231" s="16" t="inlineStr">
        <is>
          <t>Nhóm Đặng Minh</t>
        </is>
      </c>
      <c r="G231" s="16" t="inlineStr">
        <is>
          <t>Facebook Page</t>
        </is>
      </c>
      <c r="H231" s="16" t="inlineStr">
        <is>
          <t>Video Bản tin (3-5p)</t>
        </is>
      </c>
      <c r="I231" s="16" t="inlineStr">
        <is>
          <t>Đời sống - Xã hội</t>
        </is>
      </c>
      <c r="J231" s="16" t="inlineStr">
        <is>
          <t>Hỗ trợ sâu (40%)</t>
        </is>
      </c>
      <c r="K231" s="17" t="n">
        <v>56181</v>
      </c>
      <c r="L231" s="17" t="n">
        <v>4056</v>
      </c>
      <c r="M231" s="18">
        <f>L231/K231</f>
        <v/>
      </c>
      <c r="N231" s="17" t="n">
        <v>70</v>
      </c>
      <c r="O231" s="18" t="n">
        <v>0.7016</v>
      </c>
      <c r="P231" s="17" t="n">
        <v>900000</v>
      </c>
      <c r="Q231" s="17" t="n">
        <v>2200000</v>
      </c>
      <c r="R231" s="17">
        <f>Q231-P231</f>
        <v/>
      </c>
      <c r="S231" s="18">
        <f>(Q231-P231)/P231</f>
        <v/>
      </c>
      <c r="T231" s="14">
        <f>IF(AND(K231&gt;=50000, S231&gt;=0.35), "Vượt KPI", IF(AND(K231&gt;=20000, S231&gt;=0), "Đạt KPI", "Chưa đạt KPI"))</f>
        <v/>
      </c>
    </row>
    <row r="232">
      <c r="A232" s="10" t="inlineStr">
        <is>
          <t>SP-0229</t>
        </is>
      </c>
      <c r="B232" s="11" t="n">
        <v>46070</v>
      </c>
      <c r="C232" s="10" t="inlineStr">
        <is>
          <t>Tháng 02/2026</t>
        </is>
      </c>
      <c r="D232" s="10" t="inlineStr">
        <is>
          <t>Quý 1</t>
        </is>
      </c>
      <c r="E232" s="5" t="inlineStr">
        <is>
          <t>Ban Đời sống - Giới trẻ</t>
        </is>
      </c>
      <c r="F232" s="5" t="inlineStr">
        <is>
          <t>Nhóm Duy Khánh</t>
        </is>
      </c>
      <c r="G232" s="5" t="inlineStr">
        <is>
          <t>Báo Điện tử (Web)</t>
        </is>
      </c>
      <c r="H232" s="5" t="inlineStr">
        <is>
          <t>Longform / E-magazine</t>
        </is>
      </c>
      <c r="I232" s="5" t="inlineStr">
        <is>
          <t>Kinh tế - Thị trường</t>
        </is>
      </c>
      <c r="J232" s="5" t="inlineStr">
        <is>
          <t>Cơ bản (15%)</t>
        </is>
      </c>
      <c r="K232" s="12" t="n">
        <v>144267</v>
      </c>
      <c r="L232" s="12" t="n">
        <v>7487</v>
      </c>
      <c r="M232" s="13">
        <f>L232/K232</f>
        <v/>
      </c>
      <c r="N232" s="12" t="n">
        <v>192</v>
      </c>
      <c r="O232" s="13" t="n">
        <v>0.4263</v>
      </c>
      <c r="P232" s="12" t="n">
        <v>1500000</v>
      </c>
      <c r="Q232" s="12" t="n">
        <v>2550000</v>
      </c>
      <c r="R232" s="12">
        <f>Q232-P232</f>
        <v/>
      </c>
      <c r="S232" s="13">
        <f>(Q232-P232)/P232</f>
        <v/>
      </c>
      <c r="T232" s="10">
        <f>IF(AND(K232&gt;=50000, S232&gt;=0.35), "Vượt KPI", IF(AND(K232&gt;=20000, S232&gt;=0), "Đạt KPI", "Chưa đạt KPI"))</f>
        <v/>
      </c>
    </row>
    <row r="233">
      <c r="A233" s="14" t="inlineStr">
        <is>
          <t>SP-0230</t>
        </is>
      </c>
      <c r="B233" s="15" t="n">
        <v>46189</v>
      </c>
      <c r="C233" s="14" t="inlineStr">
        <is>
          <t>Tháng 06/2026</t>
        </is>
      </c>
      <c r="D233" s="14" t="inlineStr">
        <is>
          <t>Quý 2</t>
        </is>
      </c>
      <c r="E233" s="16" t="inlineStr">
        <is>
          <t>Ban Video &amp; Truyền hình số</t>
        </is>
      </c>
      <c r="F233" s="16" t="inlineStr">
        <is>
          <t>Nhóm Hoàng Hải</t>
        </is>
      </c>
      <c r="G233" s="16" t="inlineStr">
        <is>
          <t>YouTube</t>
        </is>
      </c>
      <c r="H233" s="16" t="inlineStr">
        <is>
          <t>YouTube Documentary (&gt;25p)</t>
        </is>
      </c>
      <c r="I233" s="16" t="inlineStr">
        <is>
          <t>Giáo dục &amp; Tuyển sinh</t>
        </is>
      </c>
      <c r="J233" s="16" t="inlineStr">
        <is>
          <t>Hỗ trợ sâu (40%)</t>
        </is>
      </c>
      <c r="K233" s="17" t="n">
        <v>971497</v>
      </c>
      <c r="L233" s="17" t="n">
        <v>87337</v>
      </c>
      <c r="M233" s="18">
        <f>L233/K233</f>
        <v/>
      </c>
      <c r="N233" s="17" t="n">
        <v>771</v>
      </c>
      <c r="O233" s="18" t="n">
        <v>0.703</v>
      </c>
      <c r="P233" s="17" t="n">
        <v>14400000</v>
      </c>
      <c r="Q233" s="17" t="n">
        <v>69600000</v>
      </c>
      <c r="R233" s="17">
        <f>Q233-P233</f>
        <v/>
      </c>
      <c r="S233" s="18">
        <f>(Q233-P233)/P233</f>
        <v/>
      </c>
      <c r="T233" s="14">
        <f>IF(AND(K233&gt;=50000, S233&gt;=0.35), "Vượt KPI", IF(AND(K233&gt;=20000, S233&gt;=0), "Đạt KPI", "Chưa đạt KPI"))</f>
        <v/>
      </c>
    </row>
    <row r="234">
      <c r="A234" s="10" t="inlineStr">
        <is>
          <t>SP-0231</t>
        </is>
      </c>
      <c r="B234" s="11" t="n">
        <v>46083</v>
      </c>
      <c r="C234" s="10" t="inlineStr">
        <is>
          <t>Tháng 03/2026</t>
        </is>
      </c>
      <c r="D234" s="10" t="inlineStr">
        <is>
          <t>Quý 1</t>
        </is>
      </c>
      <c r="E234" s="5" t="inlineStr">
        <is>
          <t>Ban Thời sự - Chính trị</t>
        </is>
      </c>
      <c r="F234" s="5" t="inlineStr">
        <is>
          <t>Nhóm Việt Anh</t>
        </is>
      </c>
      <c r="G234" s="5" t="inlineStr">
        <is>
          <t>Facebook Page</t>
        </is>
      </c>
      <c r="H234" s="5" t="inlineStr">
        <is>
          <t>Video Bản tin (3-5p)</t>
        </is>
      </c>
      <c r="I234" s="5" t="inlineStr">
        <is>
          <t>Kinh tế - Thị trường</t>
        </is>
      </c>
      <c r="J234" s="5" t="inlineStr">
        <is>
          <t>Cơ bản (15%)</t>
        </is>
      </c>
      <c r="K234" s="12" t="n">
        <v>36204</v>
      </c>
      <c r="L234" s="12" t="n">
        <v>2088</v>
      </c>
      <c r="M234" s="13">
        <f>L234/K234</f>
        <v/>
      </c>
      <c r="N234" s="12" t="n">
        <v>77</v>
      </c>
      <c r="O234" s="13" t="n">
        <v>0.4299</v>
      </c>
      <c r="P234" s="12" t="n">
        <v>2600000</v>
      </c>
      <c r="Q234" s="12" t="n">
        <v>10600000</v>
      </c>
      <c r="R234" s="12">
        <f>Q234-P234</f>
        <v/>
      </c>
      <c r="S234" s="13">
        <f>(Q234-P234)/P234</f>
        <v/>
      </c>
      <c r="T234" s="10">
        <f>IF(AND(K234&gt;=50000, S234&gt;=0.35), "Vượt KPI", IF(AND(K234&gt;=20000, S234&gt;=0), "Đạt KPI", "Chưa đạt KPI"))</f>
        <v/>
      </c>
    </row>
    <row r="235">
      <c r="A235" s="14" t="inlineStr">
        <is>
          <t>SP-0232</t>
        </is>
      </c>
      <c r="B235" s="15" t="n">
        <v>46174</v>
      </c>
      <c r="C235" s="14" t="inlineStr">
        <is>
          <t>Tháng 06/2026</t>
        </is>
      </c>
      <c r="D235" s="14" t="inlineStr">
        <is>
          <t>Quý 2</t>
        </is>
      </c>
      <c r="E235" s="16" t="inlineStr">
        <is>
          <t>Ban Phóng sự - Điều tra</t>
        </is>
      </c>
      <c r="F235" s="16" t="inlineStr">
        <is>
          <t>Nhóm Trọng Nghĩa</t>
        </is>
      </c>
      <c r="G235" s="16" t="inlineStr">
        <is>
          <t>Báo Điện tử (Web)</t>
        </is>
      </c>
      <c r="H235" s="16" t="inlineStr">
        <is>
          <t>Longform / E-magazine</t>
        </is>
      </c>
      <c r="I235" s="16" t="inlineStr">
        <is>
          <t>Chính sách &amp; Pháp luật</t>
        </is>
      </c>
      <c r="J235" s="16" t="inlineStr">
        <is>
          <t>Cơ bản (15%)</t>
        </is>
      </c>
      <c r="K235" s="17" t="n">
        <v>110989</v>
      </c>
      <c r="L235" s="17" t="n">
        <v>7114</v>
      </c>
      <c r="M235" s="18">
        <f>L235/K235</f>
        <v/>
      </c>
      <c r="N235" s="17" t="n">
        <v>94</v>
      </c>
      <c r="O235" s="18" t="n">
        <v>0.6795</v>
      </c>
      <c r="P235" s="17" t="n">
        <v>3450000</v>
      </c>
      <c r="Q235" s="17" t="n">
        <v>11450000</v>
      </c>
      <c r="R235" s="17">
        <f>Q235-P235</f>
        <v/>
      </c>
      <c r="S235" s="18">
        <f>(Q235-P235)/P235</f>
        <v/>
      </c>
      <c r="T235" s="14">
        <f>IF(AND(K235&gt;=50000, S235&gt;=0.35), "Vượt KPI", IF(AND(K235&gt;=20000, S235&gt;=0), "Đạt KPI", "Chưa đạt KPI"))</f>
        <v/>
      </c>
    </row>
    <row r="236">
      <c r="A236" s="10" t="inlineStr">
        <is>
          <t>SP-0233</t>
        </is>
      </c>
      <c r="B236" s="11" t="n">
        <v>46158</v>
      </c>
      <c r="C236" s="10" t="inlineStr">
        <is>
          <t>Tháng 05/2026</t>
        </is>
      </c>
      <c r="D236" s="10" t="inlineStr">
        <is>
          <t>Quý 2</t>
        </is>
      </c>
      <c r="E236" s="5" t="inlineStr">
        <is>
          <t>Ban Kinh tế - Tài chính</t>
        </is>
      </c>
      <c r="F236" s="5" t="inlineStr">
        <is>
          <t>Nhóm Đức Thịnh</t>
        </is>
      </c>
      <c r="G236" s="5" t="inlineStr">
        <is>
          <t>YouTube</t>
        </is>
      </c>
      <c r="H236" s="5" t="inlineStr">
        <is>
          <t>YouTube Long-form (10-25p)</t>
        </is>
      </c>
      <c r="I236" s="5" t="inlineStr">
        <is>
          <t>Chính sách &amp; Pháp luật</t>
        </is>
      </c>
      <c r="J236" s="5" t="inlineStr">
        <is>
          <t>Hỗ trợ sâu (40%)</t>
        </is>
      </c>
      <c r="K236" s="12" t="n">
        <v>725245</v>
      </c>
      <c r="L236" s="12" t="n">
        <v>26471</v>
      </c>
      <c r="M236" s="13">
        <f>L236/K236</f>
        <v/>
      </c>
      <c r="N236" s="12" t="n">
        <v>241</v>
      </c>
      <c r="O236" s="13" t="n">
        <v>0.6204</v>
      </c>
      <c r="P236" s="12" t="n">
        <v>8600000</v>
      </c>
      <c r="Q236" s="12" t="n">
        <v>32200000</v>
      </c>
      <c r="R236" s="12">
        <f>Q236-P236</f>
        <v/>
      </c>
      <c r="S236" s="13">
        <f>(Q236-P236)/P236</f>
        <v/>
      </c>
      <c r="T236" s="10">
        <f>IF(AND(K236&gt;=50000, S236&gt;=0.35), "Vượt KPI", IF(AND(K236&gt;=20000, S236&gt;=0), "Đạt KPI", "Chưa đạt KPI"))</f>
        <v/>
      </c>
    </row>
    <row r="237">
      <c r="A237" s="14" t="inlineStr">
        <is>
          <t>SP-0234</t>
        </is>
      </c>
      <c r="B237" s="15" t="n">
        <v>46149</v>
      </c>
      <c r="C237" s="14" t="inlineStr">
        <is>
          <t>Tháng 05/2026</t>
        </is>
      </c>
      <c r="D237" s="14" t="inlineStr">
        <is>
          <t>Quý 2</t>
        </is>
      </c>
      <c r="E237" s="16" t="inlineStr">
        <is>
          <t>Ban Video &amp; Truyền hình số</t>
        </is>
      </c>
      <c r="F237" s="16" t="inlineStr">
        <is>
          <t>Nhóm Thu Trang</t>
        </is>
      </c>
      <c r="G237" s="16" t="inlineStr">
        <is>
          <t>TikTok</t>
        </is>
      </c>
      <c r="H237" s="16" t="inlineStr">
        <is>
          <t>TikTok Reel (1-3p)</t>
        </is>
      </c>
      <c r="I237" s="16" t="inlineStr">
        <is>
          <t>Chính sách &amp; Pháp luật</t>
        </is>
      </c>
      <c r="J237" s="16" t="inlineStr">
        <is>
          <t>Toàn trình (70%)</t>
        </is>
      </c>
      <c r="K237" s="17" t="n">
        <v>511468</v>
      </c>
      <c r="L237" s="17" t="n">
        <v>37695</v>
      </c>
      <c r="M237" s="18">
        <f>L237/K237</f>
        <v/>
      </c>
      <c r="N237" s="17" t="n">
        <v>31</v>
      </c>
      <c r="O237" s="18" t="n">
        <v>0.787</v>
      </c>
      <c r="P237" s="17" t="n">
        <v>1100000</v>
      </c>
      <c r="Q237" s="17" t="n">
        <v>1850000</v>
      </c>
      <c r="R237" s="17">
        <f>Q237-P237</f>
        <v/>
      </c>
      <c r="S237" s="18">
        <f>(Q237-P237)/P237</f>
        <v/>
      </c>
      <c r="T237" s="14">
        <f>IF(AND(K237&gt;=50000, S237&gt;=0.35), "Vượt KPI", IF(AND(K237&gt;=20000, S237&gt;=0), "Đạt KPI", "Chưa đạt KPI"))</f>
        <v/>
      </c>
    </row>
    <row r="238">
      <c r="A238" s="10" t="inlineStr">
        <is>
          <t>SP-0235</t>
        </is>
      </c>
      <c r="B238" s="11" t="n">
        <v>46157</v>
      </c>
      <c r="C238" s="10" t="inlineStr">
        <is>
          <t>Tháng 05/2026</t>
        </is>
      </c>
      <c r="D238" s="10" t="inlineStr">
        <is>
          <t>Quý 2</t>
        </is>
      </c>
      <c r="E238" s="5" t="inlineStr">
        <is>
          <t>Ban Đời sống - Giới trẻ</t>
        </is>
      </c>
      <c r="F238" s="5" t="inlineStr">
        <is>
          <t>Nhóm Bảo Ngọc</t>
        </is>
      </c>
      <c r="G238" s="5" t="inlineStr">
        <is>
          <t>Báo Điện tử (Web)</t>
        </is>
      </c>
      <c r="H238" s="5" t="inlineStr">
        <is>
          <t>Infographic / Mega Story</t>
        </is>
      </c>
      <c r="I238" s="5" t="inlineStr">
        <is>
          <t>Kinh tế - Thị trường</t>
        </is>
      </c>
      <c r="J238" s="5" t="inlineStr">
        <is>
          <t>Hỗ trợ sâu (40%)</t>
        </is>
      </c>
      <c r="K238" s="12" t="n">
        <v>49676</v>
      </c>
      <c r="L238" s="12" t="n">
        <v>2871</v>
      </c>
      <c r="M238" s="13">
        <f>L238/K238</f>
        <v/>
      </c>
      <c r="N238" s="12" t="n">
        <v>242</v>
      </c>
      <c r="O238" s="13" t="n">
        <v>0.699</v>
      </c>
      <c r="P238" s="12" t="n">
        <v>4000000</v>
      </c>
      <c r="Q238" s="12" t="n">
        <v>9300000</v>
      </c>
      <c r="R238" s="12">
        <f>Q238-P238</f>
        <v/>
      </c>
      <c r="S238" s="13">
        <f>(Q238-P238)/P238</f>
        <v/>
      </c>
      <c r="T238" s="10">
        <f>IF(AND(K238&gt;=50000, S238&gt;=0.35), "Vượt KPI", IF(AND(K238&gt;=20000, S238&gt;=0), "Đạt KPI", "Chưa đạt KPI"))</f>
        <v/>
      </c>
    </row>
    <row r="239">
      <c r="A239" s="14" t="inlineStr">
        <is>
          <t>SP-0236</t>
        </is>
      </c>
      <c r="B239" s="15" t="n">
        <v>46045</v>
      </c>
      <c r="C239" s="14" t="inlineStr">
        <is>
          <t>Tháng 01/2026</t>
        </is>
      </c>
      <c r="D239" s="14" t="inlineStr">
        <is>
          <t>Quý 1</t>
        </is>
      </c>
      <c r="E239" s="16" t="inlineStr">
        <is>
          <t>Ban Thời sự - Chính trị</t>
        </is>
      </c>
      <c r="F239" s="16" t="inlineStr">
        <is>
          <t>Nhóm Việt Anh</t>
        </is>
      </c>
      <c r="G239" s="16" t="inlineStr">
        <is>
          <t>TikTok</t>
        </is>
      </c>
      <c r="H239" s="16" t="inlineStr">
        <is>
          <t>TikTok Reel (1-3p)</t>
        </is>
      </c>
      <c r="I239" s="16" t="inlineStr">
        <is>
          <t>Đời sống - Xã hội</t>
        </is>
      </c>
      <c r="J239" s="16" t="inlineStr">
        <is>
          <t>Toàn trình (70%)</t>
        </is>
      </c>
      <c r="K239" s="17" t="n">
        <v>177223</v>
      </c>
      <c r="L239" s="17" t="n">
        <v>13468</v>
      </c>
      <c r="M239" s="18">
        <f>L239/K239</f>
        <v/>
      </c>
      <c r="N239" s="17" t="n">
        <v>25</v>
      </c>
      <c r="O239" s="18" t="n">
        <v>0.474</v>
      </c>
      <c r="P239" s="17" t="n">
        <v>750000</v>
      </c>
      <c r="Q239" s="17" t="n">
        <v>3050000</v>
      </c>
      <c r="R239" s="17">
        <f>Q239-P239</f>
        <v/>
      </c>
      <c r="S239" s="18">
        <f>(Q239-P239)/P239</f>
        <v/>
      </c>
      <c r="T239" s="14">
        <f>IF(AND(K239&gt;=50000, S239&gt;=0.35), "Vượt KPI", IF(AND(K239&gt;=20000, S239&gt;=0), "Đạt KPI", "Chưa đạt KPI"))</f>
        <v/>
      </c>
    </row>
    <row r="240">
      <c r="A240" s="10" t="inlineStr">
        <is>
          <t>SP-0237</t>
        </is>
      </c>
      <c r="B240" s="11" t="n">
        <v>46182</v>
      </c>
      <c r="C240" s="10" t="inlineStr">
        <is>
          <t>Tháng 06/2026</t>
        </is>
      </c>
      <c r="D240" s="10" t="inlineStr">
        <is>
          <t>Quý 2</t>
        </is>
      </c>
      <c r="E240" s="5" t="inlineStr">
        <is>
          <t>Ban Công nghệ &amp; AI</t>
        </is>
      </c>
      <c r="F240" s="5" t="inlineStr">
        <is>
          <t>Nhóm Gia Hưng</t>
        </is>
      </c>
      <c r="G240" s="5" t="inlineStr">
        <is>
          <t>Báo Điện tử (Web)</t>
        </is>
      </c>
      <c r="H240" s="5" t="inlineStr">
        <is>
          <t>Longform / E-magazine</t>
        </is>
      </c>
      <c r="I240" s="5" t="inlineStr">
        <is>
          <t>Giáo dục &amp; Tuyển sinh</t>
        </is>
      </c>
      <c r="J240" s="5" t="inlineStr">
        <is>
          <t>Hỗ trợ sâu (40%)</t>
        </is>
      </c>
      <c r="K240" s="12" t="n">
        <v>433689</v>
      </c>
      <c r="L240" s="12" t="n">
        <v>39118</v>
      </c>
      <c r="M240" s="13">
        <f>L240/K240</f>
        <v/>
      </c>
      <c r="N240" s="12" t="n">
        <v>235</v>
      </c>
      <c r="O240" s="13" t="n">
        <v>0.4102</v>
      </c>
      <c r="P240" s="12" t="n">
        <v>1550000</v>
      </c>
      <c r="Q240" s="12" t="n">
        <v>5600000</v>
      </c>
      <c r="R240" s="12">
        <f>Q240-P240</f>
        <v/>
      </c>
      <c r="S240" s="13">
        <f>(Q240-P240)/P240</f>
        <v/>
      </c>
      <c r="T240" s="10">
        <f>IF(AND(K240&gt;=50000, S240&gt;=0.35), "Vượt KPI", IF(AND(K240&gt;=20000, S240&gt;=0), "Đạt KPI", "Chưa đạt KPI"))</f>
        <v/>
      </c>
    </row>
    <row r="241">
      <c r="A241" s="14" t="inlineStr">
        <is>
          <t>SP-0238</t>
        </is>
      </c>
      <c r="B241" s="15" t="n">
        <v>46076</v>
      </c>
      <c r="C241" s="14" t="inlineStr">
        <is>
          <t>Tháng 02/2026</t>
        </is>
      </c>
      <c r="D241" s="14" t="inlineStr">
        <is>
          <t>Quý 1</t>
        </is>
      </c>
      <c r="E241" s="16" t="inlineStr">
        <is>
          <t>Ban Kinh tế - Tài chính</t>
        </is>
      </c>
      <c r="F241" s="16" t="inlineStr">
        <is>
          <t>Nhóm Lan Hương</t>
        </is>
      </c>
      <c r="G241" s="16" t="inlineStr">
        <is>
          <t>Facebook Page</t>
        </is>
      </c>
      <c r="H241" s="16" t="inlineStr">
        <is>
          <t>Video Bản tin (3-5p)</t>
        </is>
      </c>
      <c r="I241" s="16" t="inlineStr">
        <is>
          <t>Kinh tế - Thị trường</t>
        </is>
      </c>
      <c r="J241" s="16" t="inlineStr">
        <is>
          <t>Hỗ trợ sâu (40%)</t>
        </is>
      </c>
      <c r="K241" s="17" t="n">
        <v>45695</v>
      </c>
      <c r="L241" s="17" t="n">
        <v>1882</v>
      </c>
      <c r="M241" s="18">
        <f>L241/K241</f>
        <v/>
      </c>
      <c r="N241" s="17" t="n">
        <v>49</v>
      </c>
      <c r="O241" s="18" t="n">
        <v>0.4535</v>
      </c>
      <c r="P241" s="17" t="n">
        <v>2850000</v>
      </c>
      <c r="Q241" s="17" t="n">
        <v>2600000</v>
      </c>
      <c r="R241" s="17">
        <f>Q241-P241</f>
        <v/>
      </c>
      <c r="S241" s="18">
        <f>(Q241-P241)/P241</f>
        <v/>
      </c>
      <c r="T241" s="14">
        <f>IF(AND(K241&gt;=50000, S241&gt;=0.35), "Vượt KPI", IF(AND(K241&gt;=20000, S241&gt;=0), "Đạt KPI", "Chưa đạt KPI"))</f>
        <v/>
      </c>
    </row>
    <row r="242">
      <c r="A242" s="10" t="inlineStr">
        <is>
          <t>SP-0239</t>
        </is>
      </c>
      <c r="B242" s="11" t="n">
        <v>46085</v>
      </c>
      <c r="C242" s="10" t="inlineStr">
        <is>
          <t>Tháng 03/2026</t>
        </is>
      </c>
      <c r="D242" s="10" t="inlineStr">
        <is>
          <t>Quý 1</t>
        </is>
      </c>
      <c r="E242" s="5" t="inlineStr">
        <is>
          <t>Ban Thời sự - Chính trị</t>
        </is>
      </c>
      <c r="F242" s="5" t="inlineStr">
        <is>
          <t>Nhóm Việt Anh</t>
        </is>
      </c>
      <c r="G242" s="5" t="inlineStr">
        <is>
          <t>TikTok</t>
        </is>
      </c>
      <c r="H242" s="5" t="inlineStr">
        <is>
          <t>Short Video (&lt;60s)</t>
        </is>
      </c>
      <c r="I242" s="5" t="inlineStr">
        <is>
          <t>Tài chính Cá nhân &amp; Đầu tư</t>
        </is>
      </c>
      <c r="J242" s="5" t="inlineStr">
        <is>
          <t>Toàn trình (70%)</t>
        </is>
      </c>
      <c r="K242" s="12" t="n">
        <v>331226</v>
      </c>
      <c r="L242" s="12" t="n">
        <v>25405</v>
      </c>
      <c r="M242" s="13">
        <f>L242/K242</f>
        <v/>
      </c>
      <c r="N242" s="12" t="n">
        <v>32</v>
      </c>
      <c r="O242" s="13" t="n">
        <v>0.6506999999999999</v>
      </c>
      <c r="P242" s="12" t="n">
        <v>2300000</v>
      </c>
      <c r="Q242" s="12" t="n">
        <v>8150000</v>
      </c>
      <c r="R242" s="12">
        <f>Q242-P242</f>
        <v/>
      </c>
      <c r="S242" s="13">
        <f>(Q242-P242)/P242</f>
        <v/>
      </c>
      <c r="T242" s="10">
        <f>IF(AND(K242&gt;=50000, S242&gt;=0.35), "Vượt KPI", IF(AND(K242&gt;=20000, S242&gt;=0), "Đạt KPI", "Chưa đạt KPI"))</f>
        <v/>
      </c>
    </row>
    <row r="243">
      <c r="A243" s="14" t="inlineStr">
        <is>
          <t>SP-0240</t>
        </is>
      </c>
      <c r="B243" s="15" t="n">
        <v>46136</v>
      </c>
      <c r="C243" s="14" t="inlineStr">
        <is>
          <t>Tháng 04/2026</t>
        </is>
      </c>
      <c r="D243" s="14" t="inlineStr">
        <is>
          <t>Quý 2</t>
        </is>
      </c>
      <c r="E243" s="16" t="inlineStr">
        <is>
          <t>Ban Thời sự - Chính trị</t>
        </is>
      </c>
      <c r="F243" s="16" t="inlineStr">
        <is>
          <t>Nhóm Việt Anh</t>
        </is>
      </c>
      <c r="G243" s="16" t="inlineStr">
        <is>
          <t>Podcast / Audio</t>
        </is>
      </c>
      <c r="H243" s="16" t="inlineStr">
        <is>
          <t>Podcast Chuyên sâu (20p)</t>
        </is>
      </c>
      <c r="I243" s="16" t="inlineStr">
        <is>
          <t>Công nghệ &amp; AI</t>
        </is>
      </c>
      <c r="J243" s="16" t="inlineStr">
        <is>
          <t>Hỗ trợ sâu (40%)</t>
        </is>
      </c>
      <c r="K243" s="17" t="n">
        <v>79812</v>
      </c>
      <c r="L243" s="17" t="n">
        <v>4676</v>
      </c>
      <c r="M243" s="18">
        <f>L243/K243</f>
        <v/>
      </c>
      <c r="N243" s="17" t="n">
        <v>159</v>
      </c>
      <c r="O243" s="18" t="n">
        <v>0.3811</v>
      </c>
      <c r="P243" s="17" t="n">
        <v>850000</v>
      </c>
      <c r="Q243" s="17" t="n">
        <v>1050000</v>
      </c>
      <c r="R243" s="17">
        <f>Q243-P243</f>
        <v/>
      </c>
      <c r="S243" s="18">
        <f>(Q243-P243)/P243</f>
        <v/>
      </c>
      <c r="T243" s="14">
        <f>IF(AND(K243&gt;=50000, S243&gt;=0.35), "Vượt KPI", IF(AND(K243&gt;=20000, S243&gt;=0), "Đạt KPI", "Chưa đạt KPI"))</f>
        <v/>
      </c>
    </row>
    <row r="244">
      <c r="A244" s="10" t="inlineStr">
        <is>
          <t>SP-0241</t>
        </is>
      </c>
      <c r="B244" s="11" t="n">
        <v>46131</v>
      </c>
      <c r="C244" s="10" t="inlineStr">
        <is>
          <t>Tháng 04/2026</t>
        </is>
      </c>
      <c r="D244" s="10" t="inlineStr">
        <is>
          <t>Quý 2</t>
        </is>
      </c>
      <c r="E244" s="5" t="inlineStr">
        <is>
          <t>Ban Công nghệ &amp; AI</t>
        </is>
      </c>
      <c r="F244" s="5" t="inlineStr">
        <is>
          <t>Nhóm Tuấn Kiệt</t>
        </is>
      </c>
      <c r="G244" s="5" t="inlineStr">
        <is>
          <t>YouTube</t>
        </is>
      </c>
      <c r="H244" s="5" t="inlineStr">
        <is>
          <t>YouTube Shorts</t>
        </is>
      </c>
      <c r="I244" s="5" t="inlineStr">
        <is>
          <t>Công nghệ &amp; AI</t>
        </is>
      </c>
      <c r="J244" s="5" t="inlineStr">
        <is>
          <t>Toàn trình (70%)</t>
        </is>
      </c>
      <c r="K244" s="12" t="n">
        <v>572683</v>
      </c>
      <c r="L244" s="12" t="n">
        <v>44497</v>
      </c>
      <c r="M244" s="13">
        <f>L244/K244</f>
        <v/>
      </c>
      <c r="N244" s="12" t="n">
        <v>282</v>
      </c>
      <c r="O244" s="13" t="n">
        <v>0.4601</v>
      </c>
      <c r="P244" s="12" t="n">
        <v>2100000</v>
      </c>
      <c r="Q244" s="12" t="n">
        <v>4400000</v>
      </c>
      <c r="R244" s="12">
        <f>Q244-P244</f>
        <v/>
      </c>
      <c r="S244" s="13">
        <f>(Q244-P244)/P244</f>
        <v/>
      </c>
      <c r="T244" s="10">
        <f>IF(AND(K244&gt;=50000, S244&gt;=0.35), "Vượt KPI", IF(AND(K244&gt;=20000, S244&gt;=0), "Đạt KPI", "Chưa đạt KPI"))</f>
        <v/>
      </c>
    </row>
    <row r="245">
      <c r="A245" s="14" t="inlineStr">
        <is>
          <t>SP-0242</t>
        </is>
      </c>
      <c r="B245" s="15" t="n">
        <v>46153</v>
      </c>
      <c r="C245" s="14" t="inlineStr">
        <is>
          <t>Tháng 05/2026</t>
        </is>
      </c>
      <c r="D245" s="14" t="inlineStr">
        <is>
          <t>Quý 2</t>
        </is>
      </c>
      <c r="E245" s="16" t="inlineStr">
        <is>
          <t>Ban Kinh tế - Tài chính</t>
        </is>
      </c>
      <c r="F245" s="16" t="inlineStr">
        <is>
          <t>Nhóm Đức Thịnh</t>
        </is>
      </c>
      <c r="G245" s="16" t="inlineStr">
        <is>
          <t>TikTok</t>
        </is>
      </c>
      <c r="H245" s="16" t="inlineStr">
        <is>
          <t>Short Video (&lt;60s)</t>
        </is>
      </c>
      <c r="I245" s="16" t="inlineStr">
        <is>
          <t>Chính sách &amp; Pháp luật</t>
        </is>
      </c>
      <c r="J245" s="16" t="inlineStr">
        <is>
          <t>Hỗ trợ sâu (40%)</t>
        </is>
      </c>
      <c r="K245" s="17" t="n">
        <v>618958</v>
      </c>
      <c r="L245" s="17" t="n">
        <v>58801</v>
      </c>
      <c r="M245" s="18">
        <f>L245/K245</f>
        <v/>
      </c>
      <c r="N245" s="17" t="n">
        <v>64</v>
      </c>
      <c r="O245" s="18" t="n">
        <v>0.6841</v>
      </c>
      <c r="P245" s="17" t="n">
        <v>1700000</v>
      </c>
      <c r="Q245" s="17" t="n">
        <v>6800000</v>
      </c>
      <c r="R245" s="17">
        <f>Q245-P245</f>
        <v/>
      </c>
      <c r="S245" s="18">
        <f>(Q245-P245)/P245</f>
        <v/>
      </c>
      <c r="T245" s="14">
        <f>IF(AND(K245&gt;=50000, S245&gt;=0.35), "Vượt KPI", IF(AND(K245&gt;=20000, S245&gt;=0), "Đạt KPI", "Chưa đạt KPI"))</f>
        <v/>
      </c>
    </row>
    <row r="246">
      <c r="A246" s="10" t="inlineStr">
        <is>
          <t>SP-0243</t>
        </is>
      </c>
      <c r="B246" s="11" t="n">
        <v>46152</v>
      </c>
      <c r="C246" s="10" t="inlineStr">
        <is>
          <t>Tháng 05/2026</t>
        </is>
      </c>
      <c r="D246" s="10" t="inlineStr">
        <is>
          <t>Quý 2</t>
        </is>
      </c>
      <c r="E246" s="5" t="inlineStr">
        <is>
          <t>Ban Video &amp; Truyền hình số</t>
        </is>
      </c>
      <c r="F246" s="5" t="inlineStr">
        <is>
          <t>Nhóm Hoàng Hải</t>
        </is>
      </c>
      <c r="G246" s="5" t="inlineStr">
        <is>
          <t>Podcast / Audio</t>
        </is>
      </c>
      <c r="H246" s="5" t="inlineStr">
        <is>
          <t>Podcast Chuyên sâu (20p)</t>
        </is>
      </c>
      <c r="I246" s="5" t="inlineStr">
        <is>
          <t>Công nghệ &amp; AI</t>
        </is>
      </c>
      <c r="J246" s="5" t="inlineStr">
        <is>
          <t>Hỗ trợ sâu (40%)</t>
        </is>
      </c>
      <c r="K246" s="12" t="n">
        <v>169472</v>
      </c>
      <c r="L246" s="12" t="n">
        <v>8524</v>
      </c>
      <c r="M246" s="13">
        <f>L246/K246</f>
        <v/>
      </c>
      <c r="N246" s="12" t="n">
        <v>434</v>
      </c>
      <c r="O246" s="13" t="n">
        <v>0.4734</v>
      </c>
      <c r="P246" s="12" t="n">
        <v>1500000</v>
      </c>
      <c r="Q246" s="12" t="n">
        <v>5150000</v>
      </c>
      <c r="R246" s="12">
        <f>Q246-P246</f>
        <v/>
      </c>
      <c r="S246" s="13">
        <f>(Q246-P246)/P246</f>
        <v/>
      </c>
      <c r="T246" s="10">
        <f>IF(AND(K246&gt;=50000, S246&gt;=0.35), "Vượt KPI", IF(AND(K246&gt;=20000, S246&gt;=0), "Đạt KPI", "Chưa đạt KPI"))</f>
        <v/>
      </c>
    </row>
    <row r="247">
      <c r="A247" s="14" t="inlineStr">
        <is>
          <t>SP-0244</t>
        </is>
      </c>
      <c r="B247" s="15" t="n">
        <v>46151</v>
      </c>
      <c r="C247" s="14" t="inlineStr">
        <is>
          <t>Tháng 05/2026</t>
        </is>
      </c>
      <c r="D247" s="14" t="inlineStr">
        <is>
          <t>Quý 2</t>
        </is>
      </c>
      <c r="E247" s="16" t="inlineStr">
        <is>
          <t>Ban Video &amp; Truyền hình số</t>
        </is>
      </c>
      <c r="F247" s="16" t="inlineStr">
        <is>
          <t>Nhóm Thu Trang</t>
        </is>
      </c>
      <c r="G247" s="16" t="inlineStr">
        <is>
          <t>Facebook Page</t>
        </is>
      </c>
      <c r="H247" s="16" t="inlineStr">
        <is>
          <t>Photo Story / Carousel</t>
        </is>
      </c>
      <c r="I247" s="16" t="inlineStr">
        <is>
          <t>Chính sách &amp; Pháp luật</t>
        </is>
      </c>
      <c r="J247" s="16" t="inlineStr">
        <is>
          <t>Hỗ trợ sâu (40%)</t>
        </is>
      </c>
      <c r="K247" s="17" t="n">
        <v>504458</v>
      </c>
      <c r="L247" s="17" t="n">
        <v>24718</v>
      </c>
      <c r="M247" s="18">
        <f>L247/K247</f>
        <v/>
      </c>
      <c r="N247" s="17" t="n">
        <v>48</v>
      </c>
      <c r="O247" s="18" t="n">
        <v>0.5624</v>
      </c>
      <c r="P247" s="17" t="n">
        <v>2700000</v>
      </c>
      <c r="Q247" s="17" t="n">
        <v>3750000</v>
      </c>
      <c r="R247" s="17">
        <f>Q247-P247</f>
        <v/>
      </c>
      <c r="S247" s="18">
        <f>(Q247-P247)/P247</f>
        <v/>
      </c>
      <c r="T247" s="14">
        <f>IF(AND(K247&gt;=50000, S247&gt;=0.35), "Vượt KPI", IF(AND(K247&gt;=20000, S247&gt;=0), "Đạt KPI", "Chưa đạt KPI"))</f>
        <v/>
      </c>
    </row>
    <row r="248">
      <c r="A248" s="10" t="inlineStr">
        <is>
          <t>SP-0245</t>
        </is>
      </c>
      <c r="B248" s="11" t="n">
        <v>46167</v>
      </c>
      <c r="C248" s="10" t="inlineStr">
        <is>
          <t>Tháng 05/2026</t>
        </is>
      </c>
      <c r="D248" s="10" t="inlineStr">
        <is>
          <t>Quý 2</t>
        </is>
      </c>
      <c r="E248" s="5" t="inlineStr">
        <is>
          <t>Ban Video &amp; Truyền hình số</t>
        </is>
      </c>
      <c r="F248" s="5" t="inlineStr">
        <is>
          <t>Nhóm Quốc Bảo</t>
        </is>
      </c>
      <c r="G248" s="5" t="inlineStr">
        <is>
          <t>Facebook Page</t>
        </is>
      </c>
      <c r="H248" s="5" t="inlineStr">
        <is>
          <t>Photo Story / Carousel</t>
        </is>
      </c>
      <c r="I248" s="5" t="inlineStr">
        <is>
          <t>Phóng sự Điều tra</t>
        </is>
      </c>
      <c r="J248" s="5" t="inlineStr">
        <is>
          <t>Toàn trình (70%)</t>
        </is>
      </c>
      <c r="K248" s="12" t="n">
        <v>561286</v>
      </c>
      <c r="L248" s="12" t="n">
        <v>26212</v>
      </c>
      <c r="M248" s="13">
        <f>L248/K248</f>
        <v/>
      </c>
      <c r="N248" s="12" t="n">
        <v>130</v>
      </c>
      <c r="O248" s="13" t="n">
        <v>0.5512</v>
      </c>
      <c r="P248" s="12" t="n">
        <v>1450000</v>
      </c>
      <c r="Q248" s="12" t="n">
        <v>5600000</v>
      </c>
      <c r="R248" s="12">
        <f>Q248-P248</f>
        <v/>
      </c>
      <c r="S248" s="13">
        <f>(Q248-P248)/P248</f>
        <v/>
      </c>
      <c r="T248" s="10">
        <f>IF(AND(K248&gt;=50000, S248&gt;=0.35), "Vượt KPI", IF(AND(K248&gt;=20000, S248&gt;=0), "Đạt KPI", "Chưa đạt KPI"))</f>
        <v/>
      </c>
    </row>
    <row r="249">
      <c r="A249" s="14" t="inlineStr">
        <is>
          <t>SP-0246</t>
        </is>
      </c>
      <c r="B249" s="15" t="n">
        <v>46031</v>
      </c>
      <c r="C249" s="14" t="inlineStr">
        <is>
          <t>Tháng 01/2026</t>
        </is>
      </c>
      <c r="D249" s="14" t="inlineStr">
        <is>
          <t>Quý 1</t>
        </is>
      </c>
      <c r="E249" s="16" t="inlineStr">
        <is>
          <t>Ban Kinh tế - Tài chính</t>
        </is>
      </c>
      <c r="F249" s="16" t="inlineStr">
        <is>
          <t>Nhóm Lan Hương</t>
        </is>
      </c>
      <c r="G249" s="16" t="inlineStr">
        <is>
          <t>Báo Điện tử (Web)</t>
        </is>
      </c>
      <c r="H249" s="16" t="inlineStr">
        <is>
          <t>Infographic / Mega Story</t>
        </is>
      </c>
      <c r="I249" s="16" t="inlineStr">
        <is>
          <t>Tài chính Cá nhân &amp; Đầu tư</t>
        </is>
      </c>
      <c r="J249" s="16" t="inlineStr">
        <is>
          <t>Cơ bản (15%)</t>
        </is>
      </c>
      <c r="K249" s="17" t="n">
        <v>202109</v>
      </c>
      <c r="L249" s="17" t="n">
        <v>14390</v>
      </c>
      <c r="M249" s="18">
        <f>L249/K249</f>
        <v/>
      </c>
      <c r="N249" s="17" t="n">
        <v>90</v>
      </c>
      <c r="O249" s="18" t="n">
        <v>0.3475</v>
      </c>
      <c r="P249" s="17" t="n">
        <v>2400000</v>
      </c>
      <c r="Q249" s="17" t="n">
        <v>10550000</v>
      </c>
      <c r="R249" s="17">
        <f>Q249-P249</f>
        <v/>
      </c>
      <c r="S249" s="18">
        <f>(Q249-P249)/P249</f>
        <v/>
      </c>
      <c r="T249" s="14">
        <f>IF(AND(K249&gt;=50000, S249&gt;=0.35), "Vượt KPI", IF(AND(K249&gt;=20000, S249&gt;=0), "Đạt KPI", "Chưa đạt KPI"))</f>
        <v/>
      </c>
    </row>
    <row r="250">
      <c r="A250" s="10" t="inlineStr">
        <is>
          <t>SP-0247</t>
        </is>
      </c>
      <c r="B250" s="11" t="n">
        <v>46155</v>
      </c>
      <c r="C250" s="10" t="inlineStr">
        <is>
          <t>Tháng 05/2026</t>
        </is>
      </c>
      <c r="D250" s="10" t="inlineStr">
        <is>
          <t>Quý 2</t>
        </is>
      </c>
      <c r="E250" s="5" t="inlineStr">
        <is>
          <t>Ban Công nghệ &amp; AI</t>
        </is>
      </c>
      <c r="F250" s="5" t="inlineStr">
        <is>
          <t>Nhóm Ngọc Ánh</t>
        </is>
      </c>
      <c r="G250" s="5" t="inlineStr">
        <is>
          <t>TikTok</t>
        </is>
      </c>
      <c r="H250" s="5" t="inlineStr">
        <is>
          <t>TikTok Reel (1-3p)</t>
        </is>
      </c>
      <c r="I250" s="5" t="inlineStr">
        <is>
          <t>Kinh tế - Thị trường</t>
        </is>
      </c>
      <c r="J250" s="5" t="inlineStr">
        <is>
          <t>Hỗ trợ sâu (40%)</t>
        </is>
      </c>
      <c r="K250" s="12" t="n">
        <v>929611</v>
      </c>
      <c r="L250" s="12" t="n">
        <v>77901</v>
      </c>
      <c r="M250" s="13">
        <f>L250/K250</f>
        <v/>
      </c>
      <c r="N250" s="12" t="n">
        <v>43</v>
      </c>
      <c r="O250" s="13" t="n">
        <v>0.3492</v>
      </c>
      <c r="P250" s="12" t="n">
        <v>2450000</v>
      </c>
      <c r="Q250" s="12" t="n">
        <v>14150000</v>
      </c>
      <c r="R250" s="12">
        <f>Q250-P250</f>
        <v/>
      </c>
      <c r="S250" s="13">
        <f>(Q250-P250)/P250</f>
        <v/>
      </c>
      <c r="T250" s="10">
        <f>IF(AND(K250&gt;=50000, S250&gt;=0.35), "Vượt KPI", IF(AND(K250&gt;=20000, S250&gt;=0), "Đạt KPI", "Chưa đạt KPI"))</f>
        <v/>
      </c>
    </row>
    <row r="251">
      <c r="A251" s="14" t="inlineStr">
        <is>
          <t>SP-0248</t>
        </is>
      </c>
      <c r="B251" s="15" t="n">
        <v>46077</v>
      </c>
      <c r="C251" s="14" t="inlineStr">
        <is>
          <t>Tháng 02/2026</t>
        </is>
      </c>
      <c r="D251" s="14" t="inlineStr">
        <is>
          <t>Quý 1</t>
        </is>
      </c>
      <c r="E251" s="16" t="inlineStr">
        <is>
          <t>Ban Video &amp; Truyền hình số</t>
        </is>
      </c>
      <c r="F251" s="16" t="inlineStr">
        <is>
          <t>Nhóm Thu Trang</t>
        </is>
      </c>
      <c r="G251" s="16" t="inlineStr">
        <is>
          <t>TikTok</t>
        </is>
      </c>
      <c r="H251" s="16" t="inlineStr">
        <is>
          <t>Short Video (&lt;60s)</t>
        </is>
      </c>
      <c r="I251" s="16" t="inlineStr">
        <is>
          <t>Kinh tế - Thị trường</t>
        </is>
      </c>
      <c r="J251" s="16" t="inlineStr">
        <is>
          <t>Cơ bản (15%)</t>
        </is>
      </c>
      <c r="K251" s="17" t="n">
        <v>1535236</v>
      </c>
      <c r="L251" s="17" t="n">
        <v>182846</v>
      </c>
      <c r="M251" s="18">
        <f>L251/K251</f>
        <v/>
      </c>
      <c r="N251" s="17" t="n">
        <v>93</v>
      </c>
      <c r="O251" s="18" t="n">
        <v>0.7121</v>
      </c>
      <c r="P251" s="17" t="n">
        <v>1350000</v>
      </c>
      <c r="Q251" s="17" t="n">
        <v>6600000</v>
      </c>
      <c r="R251" s="17">
        <f>Q251-P251</f>
        <v/>
      </c>
      <c r="S251" s="18">
        <f>(Q251-P251)/P251</f>
        <v/>
      </c>
      <c r="T251" s="14">
        <f>IF(AND(K251&gt;=50000, S251&gt;=0.35), "Vượt KPI", IF(AND(K251&gt;=20000, S251&gt;=0), "Đạt KPI", "Chưa đạt KPI"))</f>
        <v/>
      </c>
    </row>
    <row r="252">
      <c r="A252" s="10" t="inlineStr">
        <is>
          <t>SP-0249</t>
        </is>
      </c>
      <c r="B252" s="11" t="n">
        <v>46060</v>
      </c>
      <c r="C252" s="10" t="inlineStr">
        <is>
          <t>Tháng 02/2026</t>
        </is>
      </c>
      <c r="D252" s="10" t="inlineStr">
        <is>
          <t>Quý 1</t>
        </is>
      </c>
      <c r="E252" s="5" t="inlineStr">
        <is>
          <t>Ban Đời sống - Giới trẻ</t>
        </is>
      </c>
      <c r="F252" s="5" t="inlineStr">
        <is>
          <t>Nhóm Duy Khánh</t>
        </is>
      </c>
      <c r="G252" s="5" t="inlineStr">
        <is>
          <t>YouTube</t>
        </is>
      </c>
      <c r="H252" s="5" t="inlineStr">
        <is>
          <t>YouTube Documentary (&gt;25p)</t>
        </is>
      </c>
      <c r="I252" s="5" t="inlineStr">
        <is>
          <t>Tài chính Cá nhân &amp; Đầu tư</t>
        </is>
      </c>
      <c r="J252" s="5" t="inlineStr">
        <is>
          <t>Hỗ trợ sâu (40%)</t>
        </is>
      </c>
      <c r="K252" s="12" t="n">
        <v>176912</v>
      </c>
      <c r="L252" s="12" t="n">
        <v>10880</v>
      </c>
      <c r="M252" s="13">
        <f>L252/K252</f>
        <v/>
      </c>
      <c r="N252" s="12" t="n">
        <v>699</v>
      </c>
      <c r="O252" s="13" t="n">
        <v>0.3707</v>
      </c>
      <c r="P252" s="12" t="n">
        <v>16200000</v>
      </c>
      <c r="Q252" s="12" t="n">
        <v>93750000</v>
      </c>
      <c r="R252" s="12">
        <f>Q252-P252</f>
        <v/>
      </c>
      <c r="S252" s="13">
        <f>(Q252-P252)/P252</f>
        <v/>
      </c>
      <c r="T252" s="10">
        <f>IF(AND(K252&gt;=50000, S252&gt;=0.35), "Vượt KPI", IF(AND(K252&gt;=20000, S252&gt;=0), "Đạt KPI", "Chưa đạt KPI"))</f>
        <v/>
      </c>
    </row>
    <row r="253">
      <c r="A253" s="14" t="inlineStr">
        <is>
          <t>SP-0250</t>
        </is>
      </c>
      <c r="B253" s="15" t="n">
        <v>46063</v>
      </c>
      <c r="C253" s="14" t="inlineStr">
        <is>
          <t>Tháng 02/2026</t>
        </is>
      </c>
      <c r="D253" s="14" t="inlineStr">
        <is>
          <t>Quý 1</t>
        </is>
      </c>
      <c r="E253" s="16" t="inlineStr">
        <is>
          <t>Ban Thời sự - Chính trị</t>
        </is>
      </c>
      <c r="F253" s="16" t="inlineStr">
        <is>
          <t>Nhóm Quang Huy</t>
        </is>
      </c>
      <c r="G253" s="16" t="inlineStr">
        <is>
          <t>YouTube</t>
        </is>
      </c>
      <c r="H253" s="16" t="inlineStr">
        <is>
          <t>YouTube Documentary (&gt;25p)</t>
        </is>
      </c>
      <c r="I253" s="16" t="inlineStr">
        <is>
          <t>Tài chính Cá nhân &amp; Đầu tư</t>
        </is>
      </c>
      <c r="J253" s="16" t="inlineStr">
        <is>
          <t>Thủ công (0%)</t>
        </is>
      </c>
      <c r="K253" s="17" t="n">
        <v>1122962</v>
      </c>
      <c r="L253" s="17" t="n">
        <v>46266</v>
      </c>
      <c r="M253" s="18">
        <f>L253/K253</f>
        <v/>
      </c>
      <c r="N253" s="17" t="n">
        <v>534</v>
      </c>
      <c r="O253" s="18" t="n">
        <v>0.4326</v>
      </c>
      <c r="P253" s="17" t="n">
        <v>16400000</v>
      </c>
      <c r="Q253" s="17" t="n">
        <v>72850000</v>
      </c>
      <c r="R253" s="17">
        <f>Q253-P253</f>
        <v/>
      </c>
      <c r="S253" s="18">
        <f>(Q253-P253)/P253</f>
        <v/>
      </c>
      <c r="T253" s="14">
        <f>IF(AND(K253&gt;=50000, S253&gt;=0.35), "Vượt KPI", IF(AND(K253&gt;=20000, S253&gt;=0), "Đạt KPI", "Chưa đạt KPI"))</f>
        <v/>
      </c>
    </row>
    <row r="254">
      <c r="A254" s="10" t="inlineStr">
        <is>
          <t>SP-0251</t>
        </is>
      </c>
      <c r="B254" s="11" t="n">
        <v>46187</v>
      </c>
      <c r="C254" s="10" t="inlineStr">
        <is>
          <t>Tháng 06/2026</t>
        </is>
      </c>
      <c r="D254" s="10" t="inlineStr">
        <is>
          <t>Quý 2</t>
        </is>
      </c>
      <c r="E254" s="5" t="inlineStr">
        <is>
          <t>Ban Đời sống - Giới trẻ</t>
        </is>
      </c>
      <c r="F254" s="5" t="inlineStr">
        <is>
          <t>Nhóm Bảo Ngọc</t>
        </is>
      </c>
      <c r="G254" s="5" t="inlineStr">
        <is>
          <t>YouTube</t>
        </is>
      </c>
      <c r="H254" s="5" t="inlineStr">
        <is>
          <t>YouTube Long-form (10-25p)</t>
        </is>
      </c>
      <c r="I254" s="5" t="inlineStr">
        <is>
          <t>Chính sách &amp; Pháp luật</t>
        </is>
      </c>
      <c r="J254" s="5" t="inlineStr">
        <is>
          <t>Thủ công (0%)</t>
        </is>
      </c>
      <c r="K254" s="12" t="n">
        <v>192130</v>
      </c>
      <c r="L254" s="12" t="n">
        <v>12084</v>
      </c>
      <c r="M254" s="13">
        <f>L254/K254</f>
        <v/>
      </c>
      <c r="N254" s="12" t="n">
        <v>64</v>
      </c>
      <c r="O254" s="13" t="n">
        <v>0.5813</v>
      </c>
      <c r="P254" s="12" t="n">
        <v>13050000</v>
      </c>
      <c r="Q254" s="12" t="n">
        <v>22250000</v>
      </c>
      <c r="R254" s="12">
        <f>Q254-P254</f>
        <v/>
      </c>
      <c r="S254" s="13">
        <f>(Q254-P254)/P254</f>
        <v/>
      </c>
      <c r="T254" s="10">
        <f>IF(AND(K254&gt;=50000, S254&gt;=0.35), "Vượt KPI", IF(AND(K254&gt;=20000, S254&gt;=0), "Đạt KPI", "Chưa đạt KPI"))</f>
        <v/>
      </c>
    </row>
    <row r="255">
      <c r="A255" s="14" t="inlineStr">
        <is>
          <t>SP-0252</t>
        </is>
      </c>
      <c r="B255" s="15" t="n">
        <v>46163</v>
      </c>
      <c r="C255" s="14" t="inlineStr">
        <is>
          <t>Tháng 05/2026</t>
        </is>
      </c>
      <c r="D255" s="14" t="inlineStr">
        <is>
          <t>Quý 2</t>
        </is>
      </c>
      <c r="E255" s="16" t="inlineStr">
        <is>
          <t>Ban Công nghệ &amp; AI</t>
        </is>
      </c>
      <c r="F255" s="16" t="inlineStr">
        <is>
          <t>Nhóm Gia Hưng</t>
        </is>
      </c>
      <c r="G255" s="16" t="inlineStr">
        <is>
          <t>Podcast / Audio</t>
        </is>
      </c>
      <c r="H255" s="16" t="inlineStr">
        <is>
          <t>Podcast Chuyên sâu (20p)</t>
        </is>
      </c>
      <c r="I255" s="16" t="inlineStr">
        <is>
          <t>Kinh tế - Thị trường</t>
        </is>
      </c>
      <c r="J255" s="16" t="inlineStr">
        <is>
          <t>Thủ công (0%)</t>
        </is>
      </c>
      <c r="K255" s="17" t="n">
        <v>44229</v>
      </c>
      <c r="L255" s="17" t="n">
        <v>1795</v>
      </c>
      <c r="M255" s="18">
        <f>L255/K255</f>
        <v/>
      </c>
      <c r="N255" s="17" t="n">
        <v>801</v>
      </c>
      <c r="O255" s="18" t="n">
        <v>0.3745</v>
      </c>
      <c r="P255" s="17" t="n">
        <v>3650000</v>
      </c>
      <c r="Q255" s="17" t="n">
        <v>7700000</v>
      </c>
      <c r="R255" s="17">
        <f>Q255-P255</f>
        <v/>
      </c>
      <c r="S255" s="18">
        <f>(Q255-P255)/P255</f>
        <v/>
      </c>
      <c r="T255" s="14">
        <f>IF(AND(K255&gt;=50000, S255&gt;=0.35), "Vượt KPI", IF(AND(K255&gt;=20000, S255&gt;=0), "Đạt KPI", "Chưa đạt KPI"))</f>
        <v/>
      </c>
    </row>
    <row r="256">
      <c r="A256" s="10" t="inlineStr">
        <is>
          <t>SP-0253</t>
        </is>
      </c>
      <c r="B256" s="11" t="n">
        <v>46150</v>
      </c>
      <c r="C256" s="10" t="inlineStr">
        <is>
          <t>Tháng 05/2026</t>
        </is>
      </c>
      <c r="D256" s="10" t="inlineStr">
        <is>
          <t>Quý 2</t>
        </is>
      </c>
      <c r="E256" s="5" t="inlineStr">
        <is>
          <t>Ban Video &amp; Truyền hình số</t>
        </is>
      </c>
      <c r="F256" s="5" t="inlineStr">
        <is>
          <t>Nhóm Thu Trang</t>
        </is>
      </c>
      <c r="G256" s="5" t="inlineStr">
        <is>
          <t>Báo Điện tử (Web)</t>
        </is>
      </c>
      <c r="H256" s="5" t="inlineStr">
        <is>
          <t>Infographic / Mega Story</t>
        </is>
      </c>
      <c r="I256" s="5" t="inlineStr">
        <is>
          <t>Giáo dục &amp; Tuyển sinh</t>
        </is>
      </c>
      <c r="J256" s="5" t="inlineStr">
        <is>
          <t>Toàn trình (70%)</t>
        </is>
      </c>
      <c r="K256" s="12" t="n">
        <v>126841</v>
      </c>
      <c r="L256" s="12" t="n">
        <v>5035</v>
      </c>
      <c r="M256" s="13">
        <f>L256/K256</f>
        <v/>
      </c>
      <c r="N256" s="12" t="n">
        <v>276</v>
      </c>
      <c r="O256" s="13" t="n">
        <v>0.7737000000000001</v>
      </c>
      <c r="P256" s="12" t="n">
        <v>3750000</v>
      </c>
      <c r="Q256" s="12" t="n">
        <v>2500000</v>
      </c>
      <c r="R256" s="12">
        <f>Q256-P256</f>
        <v/>
      </c>
      <c r="S256" s="13">
        <f>(Q256-P256)/P256</f>
        <v/>
      </c>
      <c r="T256" s="10">
        <f>IF(AND(K256&gt;=50000, S256&gt;=0.35), "Vượt KPI", IF(AND(K256&gt;=20000, S256&gt;=0), "Đạt KPI", "Chưa đạt KPI"))</f>
        <v/>
      </c>
    </row>
    <row r="257">
      <c r="A257" s="14" t="inlineStr">
        <is>
          <t>SP-0254</t>
        </is>
      </c>
      <c r="B257" s="15" t="n">
        <v>46043</v>
      </c>
      <c r="C257" s="14" t="inlineStr">
        <is>
          <t>Tháng 01/2026</t>
        </is>
      </c>
      <c r="D257" s="14" t="inlineStr">
        <is>
          <t>Quý 1</t>
        </is>
      </c>
      <c r="E257" s="16" t="inlineStr">
        <is>
          <t>Ban Thời sự - Chính trị</t>
        </is>
      </c>
      <c r="F257" s="16" t="inlineStr">
        <is>
          <t>Nhóm Thanh Tâm</t>
        </is>
      </c>
      <c r="G257" s="16" t="inlineStr">
        <is>
          <t>Podcast / Audio</t>
        </is>
      </c>
      <c r="H257" s="16" t="inlineStr">
        <is>
          <t>Podcast Chuyên sâu (20p)</t>
        </is>
      </c>
      <c r="I257" s="16" t="inlineStr">
        <is>
          <t>Công nghệ &amp; AI</t>
        </is>
      </c>
      <c r="J257" s="16" t="inlineStr">
        <is>
          <t>Toàn trình (70%)</t>
        </is>
      </c>
      <c r="K257" s="17" t="n">
        <v>20792</v>
      </c>
      <c r="L257" s="17" t="n">
        <v>515</v>
      </c>
      <c r="M257" s="18">
        <f>L257/K257</f>
        <v/>
      </c>
      <c r="N257" s="17" t="n">
        <v>856</v>
      </c>
      <c r="O257" s="18" t="n">
        <v>0.5286</v>
      </c>
      <c r="P257" s="17" t="n">
        <v>2150000</v>
      </c>
      <c r="Q257" s="17" t="n">
        <v>2350000</v>
      </c>
      <c r="R257" s="17">
        <f>Q257-P257</f>
        <v/>
      </c>
      <c r="S257" s="18">
        <f>(Q257-P257)/P257</f>
        <v/>
      </c>
      <c r="T257" s="14">
        <f>IF(AND(K257&gt;=50000, S257&gt;=0.35), "Vượt KPI", IF(AND(K257&gt;=20000, S257&gt;=0), "Đạt KPI", "Chưa đạt KPI"))</f>
        <v/>
      </c>
    </row>
    <row r="258">
      <c r="A258" s="10" t="inlineStr">
        <is>
          <t>SP-0255</t>
        </is>
      </c>
      <c r="B258" s="11" t="n">
        <v>46156</v>
      </c>
      <c r="C258" s="10" t="inlineStr">
        <is>
          <t>Tháng 05/2026</t>
        </is>
      </c>
      <c r="D258" s="10" t="inlineStr">
        <is>
          <t>Quý 2</t>
        </is>
      </c>
      <c r="E258" s="5" t="inlineStr">
        <is>
          <t>Ban Phóng sự - Điều tra</t>
        </is>
      </c>
      <c r="F258" s="5" t="inlineStr">
        <is>
          <t>Nhóm Hải Đăng</t>
        </is>
      </c>
      <c r="G258" s="5" t="inlineStr">
        <is>
          <t>YouTube</t>
        </is>
      </c>
      <c r="H258" s="5" t="inlineStr">
        <is>
          <t>YouTube Documentary (&gt;25p)</t>
        </is>
      </c>
      <c r="I258" s="5" t="inlineStr">
        <is>
          <t>Đời sống - Xã hội</t>
        </is>
      </c>
      <c r="J258" s="5" t="inlineStr">
        <is>
          <t>Cơ bản (15%)</t>
        </is>
      </c>
      <c r="K258" s="12" t="n">
        <v>617036</v>
      </c>
      <c r="L258" s="12" t="n">
        <v>47881</v>
      </c>
      <c r="M258" s="13">
        <f>L258/K258</f>
        <v/>
      </c>
      <c r="N258" s="12" t="n">
        <v>592</v>
      </c>
      <c r="O258" s="13" t="n">
        <v>0.6251</v>
      </c>
      <c r="P258" s="12" t="n">
        <v>19100000</v>
      </c>
      <c r="Q258" s="12" t="n">
        <v>82300000</v>
      </c>
      <c r="R258" s="12">
        <f>Q258-P258</f>
        <v/>
      </c>
      <c r="S258" s="13">
        <f>(Q258-P258)/P258</f>
        <v/>
      </c>
      <c r="T258" s="10">
        <f>IF(AND(K258&gt;=50000, S258&gt;=0.35), "Vượt KPI", IF(AND(K258&gt;=20000, S258&gt;=0), "Đạt KPI", "Chưa đạt KPI"))</f>
        <v/>
      </c>
    </row>
    <row r="259">
      <c r="A259" s="14" t="inlineStr">
        <is>
          <t>SP-0256</t>
        </is>
      </c>
      <c r="B259" s="15" t="n">
        <v>46087</v>
      </c>
      <c r="C259" s="14" t="inlineStr">
        <is>
          <t>Tháng 03/2026</t>
        </is>
      </c>
      <c r="D259" s="14" t="inlineStr">
        <is>
          <t>Quý 1</t>
        </is>
      </c>
      <c r="E259" s="16" t="inlineStr">
        <is>
          <t>Ban Phóng sự - Điều tra</t>
        </is>
      </c>
      <c r="F259" s="16" t="inlineStr">
        <is>
          <t>Nhóm Khánh Linh</t>
        </is>
      </c>
      <c r="G259" s="16" t="inlineStr">
        <is>
          <t>TikTok</t>
        </is>
      </c>
      <c r="H259" s="16" t="inlineStr">
        <is>
          <t>TikTok Reel (1-3p)</t>
        </is>
      </c>
      <c r="I259" s="16" t="inlineStr">
        <is>
          <t>Phóng sự Điều tra</t>
        </is>
      </c>
      <c r="J259" s="16" t="inlineStr">
        <is>
          <t>Thủ công (0%)</t>
        </is>
      </c>
      <c r="K259" s="17" t="n">
        <v>961344</v>
      </c>
      <c r="L259" s="17" t="n">
        <v>66332</v>
      </c>
      <c r="M259" s="18">
        <f>L259/K259</f>
        <v/>
      </c>
      <c r="N259" s="17" t="n">
        <v>90</v>
      </c>
      <c r="O259" s="18" t="n">
        <v>0.5749</v>
      </c>
      <c r="P259" s="17" t="n">
        <v>5050000</v>
      </c>
      <c r="Q259" s="17" t="n">
        <v>8650000</v>
      </c>
      <c r="R259" s="17">
        <f>Q259-P259</f>
        <v/>
      </c>
      <c r="S259" s="18">
        <f>(Q259-P259)/P259</f>
        <v/>
      </c>
      <c r="T259" s="14">
        <f>IF(AND(K259&gt;=50000, S259&gt;=0.35), "Vượt KPI", IF(AND(K259&gt;=20000, S259&gt;=0), "Đạt KPI", "Chưa đạt KPI"))</f>
        <v/>
      </c>
    </row>
    <row r="260">
      <c r="A260" s="10" t="inlineStr">
        <is>
          <t>SP-0257</t>
        </is>
      </c>
      <c r="B260" s="11" t="n">
        <v>46155</v>
      </c>
      <c r="C260" s="10" t="inlineStr">
        <is>
          <t>Tháng 05/2026</t>
        </is>
      </c>
      <c r="D260" s="10" t="inlineStr">
        <is>
          <t>Quý 2</t>
        </is>
      </c>
      <c r="E260" s="5" t="inlineStr">
        <is>
          <t>Ban Thời sự - Chính trị</t>
        </is>
      </c>
      <c r="F260" s="5" t="inlineStr">
        <is>
          <t>Nhóm Quang Huy</t>
        </is>
      </c>
      <c r="G260" s="5" t="inlineStr">
        <is>
          <t>Podcast / Audio</t>
        </is>
      </c>
      <c r="H260" s="5" t="inlineStr">
        <is>
          <t>Podcast Chuyên sâu (20p)</t>
        </is>
      </c>
      <c r="I260" s="5" t="inlineStr">
        <is>
          <t>Kinh tế - Thị trường</t>
        </is>
      </c>
      <c r="J260" s="5" t="inlineStr">
        <is>
          <t>Thủ công (0%)</t>
        </is>
      </c>
      <c r="K260" s="12" t="n">
        <v>110460</v>
      </c>
      <c r="L260" s="12" t="n">
        <v>8715</v>
      </c>
      <c r="M260" s="13">
        <f>L260/K260</f>
        <v/>
      </c>
      <c r="N260" s="12" t="n">
        <v>806</v>
      </c>
      <c r="O260" s="13" t="n">
        <v>0.6652</v>
      </c>
      <c r="P260" s="12" t="n">
        <v>3050000</v>
      </c>
      <c r="Q260" s="12" t="n">
        <v>8450000</v>
      </c>
      <c r="R260" s="12">
        <f>Q260-P260</f>
        <v/>
      </c>
      <c r="S260" s="13">
        <f>(Q260-P260)/P260</f>
        <v/>
      </c>
      <c r="T260" s="10">
        <f>IF(AND(K260&gt;=50000, S260&gt;=0.35), "Vượt KPI", IF(AND(K260&gt;=20000, S260&gt;=0), "Đạt KPI", "Chưa đạt KPI"))</f>
        <v/>
      </c>
    </row>
    <row r="261">
      <c r="A261" s="14" t="inlineStr">
        <is>
          <t>SP-0258</t>
        </is>
      </c>
      <c r="B261" s="15" t="n">
        <v>46176</v>
      </c>
      <c r="C261" s="14" t="inlineStr">
        <is>
          <t>Tháng 06/2026</t>
        </is>
      </c>
      <c r="D261" s="14" t="inlineStr">
        <is>
          <t>Quý 2</t>
        </is>
      </c>
      <c r="E261" s="16" t="inlineStr">
        <is>
          <t>Ban Video &amp; Truyền hình số</t>
        </is>
      </c>
      <c r="F261" s="16" t="inlineStr">
        <is>
          <t>Nhóm Hoàng Hải</t>
        </is>
      </c>
      <c r="G261" s="16" t="inlineStr">
        <is>
          <t>YouTube</t>
        </is>
      </c>
      <c r="H261" s="16" t="inlineStr">
        <is>
          <t>YouTube Long-form (10-25p)</t>
        </is>
      </c>
      <c r="I261" s="16" t="inlineStr">
        <is>
          <t>Chính sách &amp; Pháp luật</t>
        </is>
      </c>
      <c r="J261" s="16" t="inlineStr">
        <is>
          <t>Cơ bản (15%)</t>
        </is>
      </c>
      <c r="K261" s="17" t="n">
        <v>668973</v>
      </c>
      <c r="L261" s="17" t="n">
        <v>56862</v>
      </c>
      <c r="M261" s="18">
        <f>L261/K261</f>
        <v/>
      </c>
      <c r="N261" s="17" t="n">
        <v>543</v>
      </c>
      <c r="O261" s="18" t="n">
        <v>0.5696</v>
      </c>
      <c r="P261" s="17" t="n">
        <v>11950000</v>
      </c>
      <c r="Q261" s="17" t="n">
        <v>52000000</v>
      </c>
      <c r="R261" s="17">
        <f>Q261-P261</f>
        <v/>
      </c>
      <c r="S261" s="18">
        <f>(Q261-P261)/P261</f>
        <v/>
      </c>
      <c r="T261" s="14">
        <f>IF(AND(K261&gt;=50000, S261&gt;=0.35), "Vượt KPI", IF(AND(K261&gt;=20000, S261&gt;=0), "Đạt KPI", "Chưa đạt KPI"))</f>
        <v/>
      </c>
    </row>
    <row r="262">
      <c r="A262" s="10" t="inlineStr">
        <is>
          <t>SP-0259</t>
        </is>
      </c>
      <c r="B262" s="11" t="n">
        <v>46085</v>
      </c>
      <c r="C262" s="10" t="inlineStr">
        <is>
          <t>Tháng 03/2026</t>
        </is>
      </c>
      <c r="D262" s="10" t="inlineStr">
        <is>
          <t>Quý 1</t>
        </is>
      </c>
      <c r="E262" s="5" t="inlineStr">
        <is>
          <t>Ban Kinh tế - Tài chính</t>
        </is>
      </c>
      <c r="F262" s="5" t="inlineStr">
        <is>
          <t>Nhóm Lan Hương</t>
        </is>
      </c>
      <c r="G262" s="5" t="inlineStr">
        <is>
          <t>Báo Điện tử (Web)</t>
        </is>
      </c>
      <c r="H262" s="5" t="inlineStr">
        <is>
          <t>Longform / E-magazine</t>
        </is>
      </c>
      <c r="I262" s="5" t="inlineStr">
        <is>
          <t>Tài chính Cá nhân &amp; Đầu tư</t>
        </is>
      </c>
      <c r="J262" s="5" t="inlineStr">
        <is>
          <t>Thủ công (0%)</t>
        </is>
      </c>
      <c r="K262" s="12" t="n">
        <v>78507</v>
      </c>
      <c r="L262" s="12" t="n">
        <v>3163</v>
      </c>
      <c r="M262" s="13">
        <f>L262/K262</f>
        <v/>
      </c>
      <c r="N262" s="12" t="n">
        <v>124</v>
      </c>
      <c r="O262" s="13" t="n">
        <v>0.464</v>
      </c>
      <c r="P262" s="12" t="n">
        <v>1600000</v>
      </c>
      <c r="Q262" s="12" t="n">
        <v>4450000</v>
      </c>
      <c r="R262" s="12">
        <f>Q262-P262</f>
        <v/>
      </c>
      <c r="S262" s="13">
        <f>(Q262-P262)/P262</f>
        <v/>
      </c>
      <c r="T262" s="10">
        <f>IF(AND(K262&gt;=50000, S262&gt;=0.35), "Vượt KPI", IF(AND(K262&gt;=20000, S262&gt;=0), "Đạt KPI", "Chưa đạt KPI"))</f>
        <v/>
      </c>
    </row>
    <row r="263">
      <c r="A263" s="14" t="inlineStr">
        <is>
          <t>SP-0260</t>
        </is>
      </c>
      <c r="B263" s="15" t="n">
        <v>46168</v>
      </c>
      <c r="C263" s="14" t="inlineStr">
        <is>
          <t>Tháng 05/2026</t>
        </is>
      </c>
      <c r="D263" s="14" t="inlineStr">
        <is>
          <t>Quý 2</t>
        </is>
      </c>
      <c r="E263" s="16" t="inlineStr">
        <is>
          <t>Ban Phóng sự - Điều tra</t>
        </is>
      </c>
      <c r="F263" s="16" t="inlineStr">
        <is>
          <t>Nhóm Hải Đăng</t>
        </is>
      </c>
      <c r="G263" s="16" t="inlineStr">
        <is>
          <t>Báo Điện tử (Web)</t>
        </is>
      </c>
      <c r="H263" s="16" t="inlineStr">
        <is>
          <t>Tin bài Đa phương tiện</t>
        </is>
      </c>
      <c r="I263" s="16" t="inlineStr">
        <is>
          <t>Đời sống - Xã hội</t>
        </is>
      </c>
      <c r="J263" s="16" t="inlineStr">
        <is>
          <t>Toàn trình (70%)</t>
        </is>
      </c>
      <c r="K263" s="17" t="n">
        <v>98911</v>
      </c>
      <c r="L263" s="17" t="n">
        <v>4579</v>
      </c>
      <c r="M263" s="18">
        <f>L263/K263</f>
        <v/>
      </c>
      <c r="N263" s="17" t="n">
        <v>197</v>
      </c>
      <c r="O263" s="18" t="n">
        <v>0.775</v>
      </c>
      <c r="P263" s="17" t="n">
        <v>3250000</v>
      </c>
      <c r="Q263" s="17" t="n">
        <v>2400000</v>
      </c>
      <c r="R263" s="17">
        <f>Q263-P263</f>
        <v/>
      </c>
      <c r="S263" s="18">
        <f>(Q263-P263)/P263</f>
        <v/>
      </c>
      <c r="T263" s="14">
        <f>IF(AND(K263&gt;=50000, S263&gt;=0.35), "Vượt KPI", IF(AND(K263&gt;=20000, S263&gt;=0), "Đạt KPI", "Chưa đạt KPI"))</f>
        <v/>
      </c>
    </row>
    <row r="264">
      <c r="A264" s="10" t="inlineStr">
        <is>
          <t>SP-0261</t>
        </is>
      </c>
      <c r="B264" s="11" t="n">
        <v>46045</v>
      </c>
      <c r="C264" s="10" t="inlineStr">
        <is>
          <t>Tháng 01/2026</t>
        </is>
      </c>
      <c r="D264" s="10" t="inlineStr">
        <is>
          <t>Quý 1</t>
        </is>
      </c>
      <c r="E264" s="5" t="inlineStr">
        <is>
          <t>Ban Phóng sự - Điều tra</t>
        </is>
      </c>
      <c r="F264" s="5" t="inlineStr">
        <is>
          <t>Nhóm Trọng Nghĩa</t>
        </is>
      </c>
      <c r="G264" s="5" t="inlineStr">
        <is>
          <t>Báo Điện tử (Web)</t>
        </is>
      </c>
      <c r="H264" s="5" t="inlineStr">
        <is>
          <t>Tin bài Đa phương tiện</t>
        </is>
      </c>
      <c r="I264" s="5" t="inlineStr">
        <is>
          <t>Đời sống - Xã hội</t>
        </is>
      </c>
      <c r="J264" s="5" t="inlineStr">
        <is>
          <t>Toàn trình (70%)</t>
        </is>
      </c>
      <c r="K264" s="12" t="n">
        <v>267699</v>
      </c>
      <c r="L264" s="12" t="n">
        <v>18069</v>
      </c>
      <c r="M264" s="13">
        <f>L264/K264</f>
        <v/>
      </c>
      <c r="N264" s="12" t="n">
        <v>233</v>
      </c>
      <c r="O264" s="13" t="n">
        <v>0.4946</v>
      </c>
      <c r="P264" s="12" t="n">
        <v>2050000</v>
      </c>
      <c r="Q264" s="12" t="n">
        <v>7750000</v>
      </c>
      <c r="R264" s="12">
        <f>Q264-P264</f>
        <v/>
      </c>
      <c r="S264" s="13">
        <f>(Q264-P264)/P264</f>
        <v/>
      </c>
      <c r="T264" s="10">
        <f>IF(AND(K264&gt;=50000, S264&gt;=0.35), "Vượt KPI", IF(AND(K264&gt;=20000, S264&gt;=0), "Đạt KPI", "Chưa đạt KPI"))</f>
        <v/>
      </c>
    </row>
    <row r="265">
      <c r="A265" s="14" t="inlineStr">
        <is>
          <t>SP-0262</t>
        </is>
      </c>
      <c r="B265" s="15" t="n">
        <v>46090</v>
      </c>
      <c r="C265" s="14" t="inlineStr">
        <is>
          <t>Tháng 03/2026</t>
        </is>
      </c>
      <c r="D265" s="14" t="inlineStr">
        <is>
          <t>Quý 1</t>
        </is>
      </c>
      <c r="E265" s="16" t="inlineStr">
        <is>
          <t>Ban Kinh tế - Tài chính</t>
        </is>
      </c>
      <c r="F265" s="16" t="inlineStr">
        <is>
          <t>Nhóm Lan Hương</t>
        </is>
      </c>
      <c r="G265" s="16" t="inlineStr">
        <is>
          <t>Báo Điện tử (Web)</t>
        </is>
      </c>
      <c r="H265" s="16" t="inlineStr">
        <is>
          <t>Infographic / Mega Story</t>
        </is>
      </c>
      <c r="I265" s="16" t="inlineStr">
        <is>
          <t>Kinh tế - Thị trường</t>
        </is>
      </c>
      <c r="J265" s="16" t="inlineStr">
        <is>
          <t>Toàn trình (70%)</t>
        </is>
      </c>
      <c r="K265" s="17" t="n">
        <v>309627</v>
      </c>
      <c r="L265" s="17" t="n">
        <v>17277</v>
      </c>
      <c r="M265" s="18">
        <f>L265/K265</f>
        <v/>
      </c>
      <c r="N265" s="17" t="n">
        <v>117</v>
      </c>
      <c r="O265" s="18" t="n">
        <v>0.7946</v>
      </c>
      <c r="P265" s="17" t="n">
        <v>1400000</v>
      </c>
      <c r="Q265" s="17" t="n">
        <v>3250000</v>
      </c>
      <c r="R265" s="17">
        <f>Q265-P265</f>
        <v/>
      </c>
      <c r="S265" s="18">
        <f>(Q265-P265)/P265</f>
        <v/>
      </c>
      <c r="T265" s="14">
        <f>IF(AND(K265&gt;=50000, S265&gt;=0.35), "Vượt KPI", IF(AND(K265&gt;=20000, S265&gt;=0), "Đạt KPI", "Chưa đạt KPI"))</f>
        <v/>
      </c>
    </row>
    <row r="266">
      <c r="A266" s="10" t="inlineStr">
        <is>
          <t>SP-0263</t>
        </is>
      </c>
      <c r="B266" s="11" t="n">
        <v>46036</v>
      </c>
      <c r="C266" s="10" t="inlineStr">
        <is>
          <t>Tháng 01/2026</t>
        </is>
      </c>
      <c r="D266" s="10" t="inlineStr">
        <is>
          <t>Quý 1</t>
        </is>
      </c>
      <c r="E266" s="5" t="inlineStr">
        <is>
          <t>Ban Video &amp; Truyền hình số</t>
        </is>
      </c>
      <c r="F266" s="5" t="inlineStr">
        <is>
          <t>Nhóm Hoàng Hải</t>
        </is>
      </c>
      <c r="G266" s="5" t="inlineStr">
        <is>
          <t>Báo Điện tử (Web)</t>
        </is>
      </c>
      <c r="H266" s="5" t="inlineStr">
        <is>
          <t>Longform / E-magazine</t>
        </is>
      </c>
      <c r="I266" s="5" t="inlineStr">
        <is>
          <t>Giáo dục &amp; Tuyển sinh</t>
        </is>
      </c>
      <c r="J266" s="5" t="inlineStr">
        <is>
          <t>Toàn trình (70%)</t>
        </is>
      </c>
      <c r="K266" s="12" t="n">
        <v>199861</v>
      </c>
      <c r="L266" s="12" t="n">
        <v>7294</v>
      </c>
      <c r="M266" s="13">
        <f>L266/K266</f>
        <v/>
      </c>
      <c r="N266" s="12" t="n">
        <v>281</v>
      </c>
      <c r="O266" s="13" t="n">
        <v>0.4102</v>
      </c>
      <c r="P266" s="12" t="n">
        <v>3900000</v>
      </c>
      <c r="Q266" s="12" t="n">
        <v>19100000</v>
      </c>
      <c r="R266" s="12">
        <f>Q266-P266</f>
        <v/>
      </c>
      <c r="S266" s="13">
        <f>(Q266-P266)/P266</f>
        <v/>
      </c>
      <c r="T266" s="10">
        <f>IF(AND(K266&gt;=50000, S266&gt;=0.35), "Vượt KPI", IF(AND(K266&gt;=20000, S266&gt;=0), "Đạt KPI", "Chưa đạt KPI"))</f>
        <v/>
      </c>
    </row>
    <row r="267">
      <c r="A267" s="14" t="inlineStr">
        <is>
          <t>SP-0264</t>
        </is>
      </c>
      <c r="B267" s="15" t="n">
        <v>46121</v>
      </c>
      <c r="C267" s="14" t="inlineStr">
        <is>
          <t>Tháng 04/2026</t>
        </is>
      </c>
      <c r="D267" s="14" t="inlineStr">
        <is>
          <t>Quý 2</t>
        </is>
      </c>
      <c r="E267" s="16" t="inlineStr">
        <is>
          <t>Ban Đời sống - Giới trẻ</t>
        </is>
      </c>
      <c r="F267" s="16" t="inlineStr">
        <is>
          <t>Nhóm Bảo Ngọc</t>
        </is>
      </c>
      <c r="G267" s="16" t="inlineStr">
        <is>
          <t>YouTube</t>
        </is>
      </c>
      <c r="H267" s="16" t="inlineStr">
        <is>
          <t>YouTube Long-form (10-25p)</t>
        </is>
      </c>
      <c r="I267" s="16" t="inlineStr">
        <is>
          <t>Tài chính Cá nhân &amp; Đầu tư</t>
        </is>
      </c>
      <c r="J267" s="16" t="inlineStr">
        <is>
          <t>Hỗ trợ sâu (40%)</t>
        </is>
      </c>
      <c r="K267" s="17" t="n">
        <v>608457</v>
      </c>
      <c r="L267" s="17" t="n">
        <v>21539</v>
      </c>
      <c r="M267" s="18">
        <f>L267/K267</f>
        <v/>
      </c>
      <c r="N267" s="17" t="n">
        <v>707</v>
      </c>
      <c r="O267" s="18" t="n">
        <v>0.5769</v>
      </c>
      <c r="P267" s="17" t="n">
        <v>12350000</v>
      </c>
      <c r="Q267" s="17" t="n">
        <v>74600000</v>
      </c>
      <c r="R267" s="17">
        <f>Q267-P267</f>
        <v/>
      </c>
      <c r="S267" s="18">
        <f>(Q267-P267)/P267</f>
        <v/>
      </c>
      <c r="T267" s="14">
        <f>IF(AND(K267&gt;=50000, S267&gt;=0.35), "Vượt KPI", IF(AND(K267&gt;=20000, S267&gt;=0), "Đạt KPI", "Chưa đạt KPI"))</f>
        <v/>
      </c>
    </row>
    <row r="268">
      <c r="A268" s="10" t="inlineStr">
        <is>
          <t>SP-0265</t>
        </is>
      </c>
      <c r="B268" s="11" t="n">
        <v>46060</v>
      </c>
      <c r="C268" s="10" t="inlineStr">
        <is>
          <t>Tháng 02/2026</t>
        </is>
      </c>
      <c r="D268" s="10" t="inlineStr">
        <is>
          <t>Quý 1</t>
        </is>
      </c>
      <c r="E268" s="5" t="inlineStr">
        <is>
          <t>Ban Phóng sự - Điều tra</t>
        </is>
      </c>
      <c r="F268" s="5" t="inlineStr">
        <is>
          <t>Nhóm Khánh Linh</t>
        </is>
      </c>
      <c r="G268" s="5" t="inlineStr">
        <is>
          <t>TikTok</t>
        </is>
      </c>
      <c r="H268" s="5" t="inlineStr">
        <is>
          <t>Short Video (&lt;60s)</t>
        </is>
      </c>
      <c r="I268" s="5" t="inlineStr">
        <is>
          <t>Phóng sự Điều tra</t>
        </is>
      </c>
      <c r="J268" s="5" t="inlineStr">
        <is>
          <t>Toàn trình (70%)</t>
        </is>
      </c>
      <c r="K268" s="12" t="n">
        <v>188153</v>
      </c>
      <c r="L268" s="12" t="n">
        <v>9012</v>
      </c>
      <c r="M268" s="13">
        <f>L268/K268</f>
        <v/>
      </c>
      <c r="N268" s="12" t="n">
        <v>29</v>
      </c>
      <c r="O268" s="13" t="n">
        <v>0.6348</v>
      </c>
      <c r="P268" s="12" t="n">
        <v>2200000</v>
      </c>
      <c r="Q268" s="12" t="n">
        <v>4450000</v>
      </c>
      <c r="R268" s="12">
        <f>Q268-P268</f>
        <v/>
      </c>
      <c r="S268" s="13">
        <f>(Q268-P268)/P268</f>
        <v/>
      </c>
      <c r="T268" s="10">
        <f>IF(AND(K268&gt;=50000, S268&gt;=0.35), "Vượt KPI", IF(AND(K268&gt;=20000, S268&gt;=0), "Đạt KPI", "Chưa đạt KPI"))</f>
        <v/>
      </c>
    </row>
    <row r="269">
      <c r="A269" s="14" t="inlineStr">
        <is>
          <t>SP-0266</t>
        </is>
      </c>
      <c r="B269" s="15" t="n">
        <v>46114</v>
      </c>
      <c r="C269" s="14" t="inlineStr">
        <is>
          <t>Tháng 04/2026</t>
        </is>
      </c>
      <c r="D269" s="14" t="inlineStr">
        <is>
          <t>Quý 2</t>
        </is>
      </c>
      <c r="E269" s="16" t="inlineStr">
        <is>
          <t>Ban Đời sống - Giới trẻ</t>
        </is>
      </c>
      <c r="F269" s="16" t="inlineStr">
        <is>
          <t>Nhóm Bảo Ngọc</t>
        </is>
      </c>
      <c r="G269" s="16" t="inlineStr">
        <is>
          <t>TikTok</t>
        </is>
      </c>
      <c r="H269" s="16" t="inlineStr">
        <is>
          <t>Short Video (&lt;60s)</t>
        </is>
      </c>
      <c r="I269" s="16" t="inlineStr">
        <is>
          <t>Giáo dục &amp; Tuyển sinh</t>
        </is>
      </c>
      <c r="J269" s="16" t="inlineStr">
        <is>
          <t>Cơ bản (15%)</t>
        </is>
      </c>
      <c r="K269" s="17" t="n">
        <v>192484</v>
      </c>
      <c r="L269" s="17" t="n">
        <v>17689</v>
      </c>
      <c r="M269" s="18">
        <f>L269/K269</f>
        <v/>
      </c>
      <c r="N269" s="17" t="n">
        <v>54</v>
      </c>
      <c r="O269" s="18" t="n">
        <v>0.5563</v>
      </c>
      <c r="P269" s="17" t="n">
        <v>1100000</v>
      </c>
      <c r="Q269" s="17" t="n">
        <v>500000</v>
      </c>
      <c r="R269" s="17">
        <f>Q269-P269</f>
        <v/>
      </c>
      <c r="S269" s="18">
        <f>(Q269-P269)/P269</f>
        <v/>
      </c>
      <c r="T269" s="14">
        <f>IF(AND(K269&gt;=50000, S269&gt;=0.35), "Vượt KPI", IF(AND(K269&gt;=20000, S269&gt;=0), "Đạt KPI", "Chưa đạt KPI"))</f>
        <v/>
      </c>
    </row>
    <row r="270">
      <c r="A270" s="10" t="inlineStr">
        <is>
          <t>SP-0267</t>
        </is>
      </c>
      <c r="B270" s="11" t="n">
        <v>46201</v>
      </c>
      <c r="C270" s="10" t="inlineStr">
        <is>
          <t>Tháng 06/2026</t>
        </is>
      </c>
      <c r="D270" s="10" t="inlineStr">
        <is>
          <t>Quý 2</t>
        </is>
      </c>
      <c r="E270" s="5" t="inlineStr">
        <is>
          <t>Ban Video &amp; Truyền hình số</t>
        </is>
      </c>
      <c r="F270" s="5" t="inlineStr">
        <is>
          <t>Nhóm Đặng Minh</t>
        </is>
      </c>
      <c r="G270" s="5" t="inlineStr">
        <is>
          <t>Báo Điện tử (Web)</t>
        </is>
      </c>
      <c r="H270" s="5" t="inlineStr">
        <is>
          <t>Longform / E-magazine</t>
        </is>
      </c>
      <c r="I270" s="5" t="inlineStr">
        <is>
          <t>Giáo dục &amp; Tuyển sinh</t>
        </is>
      </c>
      <c r="J270" s="5" t="inlineStr">
        <is>
          <t>Hỗ trợ sâu (40%)</t>
        </is>
      </c>
      <c r="K270" s="12" t="n">
        <v>174935</v>
      </c>
      <c r="L270" s="12" t="n">
        <v>12472</v>
      </c>
      <c r="M270" s="13">
        <f>L270/K270</f>
        <v/>
      </c>
      <c r="N270" s="12" t="n">
        <v>272</v>
      </c>
      <c r="O270" s="13" t="n">
        <v>0.522</v>
      </c>
      <c r="P270" s="12" t="n">
        <v>3850000</v>
      </c>
      <c r="Q270" s="12" t="n">
        <v>11150000</v>
      </c>
      <c r="R270" s="12">
        <f>Q270-P270</f>
        <v/>
      </c>
      <c r="S270" s="13">
        <f>(Q270-P270)/P270</f>
        <v/>
      </c>
      <c r="T270" s="10">
        <f>IF(AND(K270&gt;=50000, S270&gt;=0.35), "Vượt KPI", IF(AND(K270&gt;=20000, S270&gt;=0), "Đạt KPI", "Chưa đạt KPI"))</f>
        <v/>
      </c>
    </row>
    <row r="271">
      <c r="A271" s="14" t="inlineStr">
        <is>
          <t>SP-0268</t>
        </is>
      </c>
      <c r="B271" s="15" t="n">
        <v>46183</v>
      </c>
      <c r="C271" s="14" t="inlineStr">
        <is>
          <t>Tháng 06/2026</t>
        </is>
      </c>
      <c r="D271" s="14" t="inlineStr">
        <is>
          <t>Quý 2</t>
        </is>
      </c>
      <c r="E271" s="16" t="inlineStr">
        <is>
          <t>Ban Video &amp; Truyền hình số</t>
        </is>
      </c>
      <c r="F271" s="16" t="inlineStr">
        <is>
          <t>Nhóm Quốc Bảo</t>
        </is>
      </c>
      <c r="G271" s="16" t="inlineStr">
        <is>
          <t>TikTok</t>
        </is>
      </c>
      <c r="H271" s="16" t="inlineStr">
        <is>
          <t>TikTok Reel (1-3p)</t>
        </is>
      </c>
      <c r="I271" s="16" t="inlineStr">
        <is>
          <t>Kinh tế - Thị trường</t>
        </is>
      </c>
      <c r="J271" s="16" t="inlineStr">
        <is>
          <t>Hỗ trợ sâu (40%)</t>
        </is>
      </c>
      <c r="K271" s="17" t="n">
        <v>300460</v>
      </c>
      <c r="L271" s="17" t="n">
        <v>26470</v>
      </c>
      <c r="M271" s="18">
        <f>L271/K271</f>
        <v/>
      </c>
      <c r="N271" s="17" t="n">
        <v>36</v>
      </c>
      <c r="O271" s="18" t="n">
        <v>0.3493</v>
      </c>
      <c r="P271" s="17" t="n">
        <v>1650000</v>
      </c>
      <c r="Q271" s="17" t="n">
        <v>6900000</v>
      </c>
      <c r="R271" s="17">
        <f>Q271-P271</f>
        <v/>
      </c>
      <c r="S271" s="18">
        <f>(Q271-P271)/P271</f>
        <v/>
      </c>
      <c r="T271" s="14">
        <f>IF(AND(K271&gt;=50000, S271&gt;=0.35), "Vượt KPI", IF(AND(K271&gt;=20000, S271&gt;=0), "Đạt KPI", "Chưa đạt KPI"))</f>
        <v/>
      </c>
    </row>
    <row r="272">
      <c r="A272" s="10" t="inlineStr">
        <is>
          <t>SP-0269</t>
        </is>
      </c>
      <c r="B272" s="11" t="n">
        <v>46056</v>
      </c>
      <c r="C272" s="10" t="inlineStr">
        <is>
          <t>Tháng 02/2026</t>
        </is>
      </c>
      <c r="D272" s="10" t="inlineStr">
        <is>
          <t>Quý 1</t>
        </is>
      </c>
      <c r="E272" s="5" t="inlineStr">
        <is>
          <t>Ban Video &amp; Truyền hình số</t>
        </is>
      </c>
      <c r="F272" s="5" t="inlineStr">
        <is>
          <t>Nhóm Thu Trang</t>
        </is>
      </c>
      <c r="G272" s="5" t="inlineStr">
        <is>
          <t>Báo Điện tử (Web)</t>
        </is>
      </c>
      <c r="H272" s="5" t="inlineStr">
        <is>
          <t>Longform / E-magazine</t>
        </is>
      </c>
      <c r="I272" s="5" t="inlineStr">
        <is>
          <t>Kinh tế - Thị trường</t>
        </is>
      </c>
      <c r="J272" s="5" t="inlineStr">
        <is>
          <t>Hỗ trợ sâu (40%)</t>
        </is>
      </c>
      <c r="K272" s="12" t="n">
        <v>143503</v>
      </c>
      <c r="L272" s="12" t="n">
        <v>5740</v>
      </c>
      <c r="M272" s="13">
        <f>L272/K272</f>
        <v/>
      </c>
      <c r="N272" s="12" t="n">
        <v>81</v>
      </c>
      <c r="O272" s="13" t="n">
        <v>0.5265</v>
      </c>
      <c r="P272" s="12" t="n">
        <v>4050000</v>
      </c>
      <c r="Q272" s="12" t="n">
        <v>9900000</v>
      </c>
      <c r="R272" s="12">
        <f>Q272-P272</f>
        <v/>
      </c>
      <c r="S272" s="13">
        <f>(Q272-P272)/P272</f>
        <v/>
      </c>
      <c r="T272" s="10">
        <f>IF(AND(K272&gt;=50000, S272&gt;=0.35), "Vượt KPI", IF(AND(K272&gt;=20000, S272&gt;=0), "Đạt KPI", "Chưa đạt KPI"))</f>
        <v/>
      </c>
    </row>
    <row r="273">
      <c r="A273" s="14" t="inlineStr">
        <is>
          <t>SP-0270</t>
        </is>
      </c>
      <c r="B273" s="15" t="n">
        <v>46069</v>
      </c>
      <c r="C273" s="14" t="inlineStr">
        <is>
          <t>Tháng 02/2026</t>
        </is>
      </c>
      <c r="D273" s="14" t="inlineStr">
        <is>
          <t>Quý 1</t>
        </is>
      </c>
      <c r="E273" s="16" t="inlineStr">
        <is>
          <t>Ban Công nghệ &amp; AI</t>
        </is>
      </c>
      <c r="F273" s="16" t="inlineStr">
        <is>
          <t>Nhóm Ngọc Ánh</t>
        </is>
      </c>
      <c r="G273" s="16" t="inlineStr">
        <is>
          <t>Facebook Page</t>
        </is>
      </c>
      <c r="H273" s="16" t="inlineStr">
        <is>
          <t>Facebook Reels</t>
        </is>
      </c>
      <c r="I273" s="16" t="inlineStr">
        <is>
          <t>Công nghệ &amp; AI</t>
        </is>
      </c>
      <c r="J273" s="16" t="inlineStr">
        <is>
          <t>Hỗ trợ sâu (40%)</t>
        </is>
      </c>
      <c r="K273" s="17" t="n">
        <v>574221</v>
      </c>
      <c r="L273" s="17" t="n">
        <v>47832</v>
      </c>
      <c r="M273" s="18">
        <f>L273/K273</f>
        <v/>
      </c>
      <c r="N273" s="17" t="n">
        <v>97</v>
      </c>
      <c r="O273" s="18" t="n">
        <v>0.6969</v>
      </c>
      <c r="P273" s="17" t="n">
        <v>2950000</v>
      </c>
      <c r="Q273" s="17" t="n">
        <v>12250000</v>
      </c>
      <c r="R273" s="17">
        <f>Q273-P273</f>
        <v/>
      </c>
      <c r="S273" s="18">
        <f>(Q273-P273)/P273</f>
        <v/>
      </c>
      <c r="T273" s="14">
        <f>IF(AND(K273&gt;=50000, S273&gt;=0.35), "Vượt KPI", IF(AND(K273&gt;=20000, S273&gt;=0), "Đạt KPI", "Chưa đạt KPI"))</f>
        <v/>
      </c>
    </row>
    <row r="274">
      <c r="A274" s="10" t="inlineStr">
        <is>
          <t>SP-0271</t>
        </is>
      </c>
      <c r="B274" s="11" t="n">
        <v>46097</v>
      </c>
      <c r="C274" s="10" t="inlineStr">
        <is>
          <t>Tháng 03/2026</t>
        </is>
      </c>
      <c r="D274" s="10" t="inlineStr">
        <is>
          <t>Quý 1</t>
        </is>
      </c>
      <c r="E274" s="5" t="inlineStr">
        <is>
          <t>Ban Công nghệ &amp; AI</t>
        </is>
      </c>
      <c r="F274" s="5" t="inlineStr">
        <is>
          <t>Nhóm Gia Hưng</t>
        </is>
      </c>
      <c r="G274" s="5" t="inlineStr">
        <is>
          <t>YouTube</t>
        </is>
      </c>
      <c r="H274" s="5" t="inlineStr">
        <is>
          <t>YouTube Long-form (10-25p)</t>
        </is>
      </c>
      <c r="I274" s="5" t="inlineStr">
        <is>
          <t>Giáo dục &amp; Tuyển sinh</t>
        </is>
      </c>
      <c r="J274" s="5" t="inlineStr">
        <is>
          <t>Hỗ trợ sâu (40%)</t>
        </is>
      </c>
      <c r="K274" s="12" t="n">
        <v>496334</v>
      </c>
      <c r="L274" s="12" t="n">
        <v>20846</v>
      </c>
      <c r="M274" s="13">
        <f>L274/K274</f>
        <v/>
      </c>
      <c r="N274" s="12" t="n">
        <v>108</v>
      </c>
      <c r="O274" s="13" t="n">
        <v>0.4102</v>
      </c>
      <c r="P274" s="12" t="n">
        <v>13200000</v>
      </c>
      <c r="Q274" s="12" t="n">
        <v>42450000</v>
      </c>
      <c r="R274" s="12">
        <f>Q274-P274</f>
        <v/>
      </c>
      <c r="S274" s="13">
        <f>(Q274-P274)/P274</f>
        <v/>
      </c>
      <c r="T274" s="10">
        <f>IF(AND(K274&gt;=50000, S274&gt;=0.35), "Vượt KPI", IF(AND(K274&gt;=20000, S274&gt;=0), "Đạt KPI", "Chưa đạt KPI"))</f>
        <v/>
      </c>
    </row>
    <row r="275">
      <c r="A275" s="14" t="inlineStr">
        <is>
          <t>SP-0272</t>
        </is>
      </c>
      <c r="B275" s="15" t="n">
        <v>46152</v>
      </c>
      <c r="C275" s="14" t="inlineStr">
        <is>
          <t>Tháng 05/2026</t>
        </is>
      </c>
      <c r="D275" s="14" t="inlineStr">
        <is>
          <t>Quý 2</t>
        </is>
      </c>
      <c r="E275" s="16" t="inlineStr">
        <is>
          <t>Ban Video &amp; Truyền hình số</t>
        </is>
      </c>
      <c r="F275" s="16" t="inlineStr">
        <is>
          <t>Nhóm Quốc Bảo</t>
        </is>
      </c>
      <c r="G275" s="16" t="inlineStr">
        <is>
          <t>YouTube</t>
        </is>
      </c>
      <c r="H275" s="16" t="inlineStr">
        <is>
          <t>YouTube Long-form (10-25p)</t>
        </is>
      </c>
      <c r="I275" s="16" t="inlineStr">
        <is>
          <t>Chính sách &amp; Pháp luật</t>
        </is>
      </c>
      <c r="J275" s="16" t="inlineStr">
        <is>
          <t>Thủ công (0%)</t>
        </is>
      </c>
      <c r="K275" s="17" t="n">
        <v>119462</v>
      </c>
      <c r="L275" s="17" t="n">
        <v>3452</v>
      </c>
      <c r="M275" s="18">
        <f>L275/K275</f>
        <v/>
      </c>
      <c r="N275" s="17" t="n">
        <v>614</v>
      </c>
      <c r="O275" s="18" t="n">
        <v>0.4624</v>
      </c>
      <c r="P275" s="17" t="n">
        <v>18550000</v>
      </c>
      <c r="Q275" s="17" t="n">
        <v>42750000</v>
      </c>
      <c r="R275" s="17">
        <f>Q275-P275</f>
        <v/>
      </c>
      <c r="S275" s="18">
        <f>(Q275-P275)/P275</f>
        <v/>
      </c>
      <c r="T275" s="14">
        <f>IF(AND(K275&gt;=50000, S275&gt;=0.35), "Vượt KPI", IF(AND(K275&gt;=20000, S275&gt;=0), "Đạt KPI", "Chưa đạt KPI"))</f>
        <v/>
      </c>
    </row>
    <row r="276">
      <c r="A276" s="10" t="inlineStr">
        <is>
          <t>SP-0273</t>
        </is>
      </c>
      <c r="B276" s="11" t="n">
        <v>46091</v>
      </c>
      <c r="C276" s="10" t="inlineStr">
        <is>
          <t>Tháng 03/2026</t>
        </is>
      </c>
      <c r="D276" s="10" t="inlineStr">
        <is>
          <t>Quý 1</t>
        </is>
      </c>
      <c r="E276" s="5" t="inlineStr">
        <is>
          <t>Ban Video &amp; Truyền hình số</t>
        </is>
      </c>
      <c r="F276" s="5" t="inlineStr">
        <is>
          <t>Nhóm Thu Trang</t>
        </is>
      </c>
      <c r="G276" s="5" t="inlineStr">
        <is>
          <t>TikTok</t>
        </is>
      </c>
      <c r="H276" s="5" t="inlineStr">
        <is>
          <t>Short Video (&lt;60s)</t>
        </is>
      </c>
      <c r="I276" s="5" t="inlineStr">
        <is>
          <t>Công nghệ &amp; AI</t>
        </is>
      </c>
      <c r="J276" s="5" t="inlineStr">
        <is>
          <t>Thủ công (0%)</t>
        </is>
      </c>
      <c r="K276" s="12" t="n">
        <v>997372</v>
      </c>
      <c r="L276" s="12" t="n">
        <v>98440</v>
      </c>
      <c r="M276" s="13">
        <f>L276/K276</f>
        <v/>
      </c>
      <c r="N276" s="12" t="n">
        <v>28</v>
      </c>
      <c r="O276" s="13" t="n">
        <v>0.3132</v>
      </c>
      <c r="P276" s="12" t="n">
        <v>2800000</v>
      </c>
      <c r="Q276" s="12" t="n">
        <v>7500000</v>
      </c>
      <c r="R276" s="12">
        <f>Q276-P276</f>
        <v/>
      </c>
      <c r="S276" s="13">
        <f>(Q276-P276)/P276</f>
        <v/>
      </c>
      <c r="T276" s="10">
        <f>IF(AND(K276&gt;=50000, S276&gt;=0.35), "Vượt KPI", IF(AND(K276&gt;=20000, S276&gt;=0), "Đạt KPI", "Chưa đạt KPI"))</f>
        <v/>
      </c>
    </row>
    <row r="277">
      <c r="A277" s="14" t="inlineStr">
        <is>
          <t>SP-0274</t>
        </is>
      </c>
      <c r="B277" s="15" t="n">
        <v>46114</v>
      </c>
      <c r="C277" s="14" t="inlineStr">
        <is>
          <t>Tháng 04/2026</t>
        </is>
      </c>
      <c r="D277" s="14" t="inlineStr">
        <is>
          <t>Quý 2</t>
        </is>
      </c>
      <c r="E277" s="16" t="inlineStr">
        <is>
          <t>Ban Đời sống - Giới trẻ</t>
        </is>
      </c>
      <c r="F277" s="16" t="inlineStr">
        <is>
          <t>Nhóm Duy Khánh</t>
        </is>
      </c>
      <c r="G277" s="16" t="inlineStr">
        <is>
          <t>YouTube</t>
        </is>
      </c>
      <c r="H277" s="16" t="inlineStr">
        <is>
          <t>YouTube Long-form (10-25p)</t>
        </is>
      </c>
      <c r="I277" s="16" t="inlineStr">
        <is>
          <t>Phóng sự Điều tra</t>
        </is>
      </c>
      <c r="J277" s="16" t="inlineStr">
        <is>
          <t>Toàn trình (70%)</t>
        </is>
      </c>
      <c r="K277" s="17" t="n">
        <v>436148</v>
      </c>
      <c r="L277" s="17" t="n">
        <v>18710</v>
      </c>
      <c r="M277" s="18">
        <f>L277/K277</f>
        <v/>
      </c>
      <c r="N277" s="17" t="n">
        <v>280</v>
      </c>
      <c r="O277" s="18" t="n">
        <v>0.369</v>
      </c>
      <c r="P277" s="17" t="n">
        <v>11850000</v>
      </c>
      <c r="Q277" s="17" t="n">
        <v>77550000</v>
      </c>
      <c r="R277" s="17">
        <f>Q277-P277</f>
        <v/>
      </c>
      <c r="S277" s="18">
        <f>(Q277-P277)/P277</f>
        <v/>
      </c>
      <c r="T277" s="14">
        <f>IF(AND(K277&gt;=50000, S277&gt;=0.35), "Vượt KPI", IF(AND(K277&gt;=20000, S277&gt;=0), "Đạt KPI", "Chưa đạt KPI"))</f>
        <v/>
      </c>
    </row>
    <row r="278">
      <c r="A278" s="10" t="inlineStr">
        <is>
          <t>SP-0275</t>
        </is>
      </c>
      <c r="B278" s="11" t="n">
        <v>46122</v>
      </c>
      <c r="C278" s="10" t="inlineStr">
        <is>
          <t>Tháng 04/2026</t>
        </is>
      </c>
      <c r="D278" s="10" t="inlineStr">
        <is>
          <t>Quý 2</t>
        </is>
      </c>
      <c r="E278" s="5" t="inlineStr">
        <is>
          <t>Ban Video &amp; Truyền hình số</t>
        </is>
      </c>
      <c r="F278" s="5" t="inlineStr">
        <is>
          <t>Nhóm Quốc Bảo</t>
        </is>
      </c>
      <c r="G278" s="5" t="inlineStr">
        <is>
          <t>YouTube</t>
        </is>
      </c>
      <c r="H278" s="5" t="inlineStr">
        <is>
          <t>YouTube Shorts</t>
        </is>
      </c>
      <c r="I278" s="5" t="inlineStr">
        <is>
          <t>Tài chính Cá nhân &amp; Đầu tư</t>
        </is>
      </c>
      <c r="J278" s="5" t="inlineStr">
        <is>
          <t>Hỗ trợ sâu (40%)</t>
        </is>
      </c>
      <c r="K278" s="12" t="n">
        <v>477907</v>
      </c>
      <c r="L278" s="12" t="n">
        <v>38901</v>
      </c>
      <c r="M278" s="13">
        <f>L278/K278</f>
        <v/>
      </c>
      <c r="N278" s="12" t="n">
        <v>236</v>
      </c>
      <c r="O278" s="13" t="n">
        <v>0.5926</v>
      </c>
      <c r="P278" s="12" t="n">
        <v>3950000</v>
      </c>
      <c r="Q278" s="12" t="n">
        <v>15400000</v>
      </c>
      <c r="R278" s="12">
        <f>Q278-P278</f>
        <v/>
      </c>
      <c r="S278" s="13">
        <f>(Q278-P278)/P278</f>
        <v/>
      </c>
      <c r="T278" s="10">
        <f>IF(AND(K278&gt;=50000, S278&gt;=0.35), "Vượt KPI", IF(AND(K278&gt;=20000, S278&gt;=0), "Đạt KPI", "Chưa đạt KPI"))</f>
        <v/>
      </c>
    </row>
    <row r="279">
      <c r="A279" s="14" t="inlineStr">
        <is>
          <t>SP-0276</t>
        </is>
      </c>
      <c r="B279" s="15" t="n">
        <v>46156</v>
      </c>
      <c r="C279" s="14" t="inlineStr">
        <is>
          <t>Tháng 05/2026</t>
        </is>
      </c>
      <c r="D279" s="14" t="inlineStr">
        <is>
          <t>Quý 2</t>
        </is>
      </c>
      <c r="E279" s="16" t="inlineStr">
        <is>
          <t>Ban Công nghệ &amp; AI</t>
        </is>
      </c>
      <c r="F279" s="16" t="inlineStr">
        <is>
          <t>Nhóm Ngọc Ánh</t>
        </is>
      </c>
      <c r="G279" s="16" t="inlineStr">
        <is>
          <t>TikTok</t>
        </is>
      </c>
      <c r="H279" s="16" t="inlineStr">
        <is>
          <t>Short Video (&lt;60s)</t>
        </is>
      </c>
      <c r="I279" s="16" t="inlineStr">
        <is>
          <t>Giáo dục &amp; Tuyển sinh</t>
        </is>
      </c>
      <c r="J279" s="16" t="inlineStr">
        <is>
          <t>Hỗ trợ sâu (40%)</t>
        </is>
      </c>
      <c r="K279" s="17" t="n">
        <v>852148</v>
      </c>
      <c r="L279" s="17" t="n">
        <v>78227</v>
      </c>
      <c r="M279" s="18">
        <f>L279/K279</f>
        <v/>
      </c>
      <c r="N279" s="17" t="n">
        <v>94</v>
      </c>
      <c r="O279" s="18" t="n">
        <v>0.5332</v>
      </c>
      <c r="P279" s="17" t="n">
        <v>1800000</v>
      </c>
      <c r="Q279" s="17" t="n">
        <v>5650000</v>
      </c>
      <c r="R279" s="17">
        <f>Q279-P279</f>
        <v/>
      </c>
      <c r="S279" s="18">
        <f>(Q279-P279)/P279</f>
        <v/>
      </c>
      <c r="T279" s="14">
        <f>IF(AND(K279&gt;=50000, S279&gt;=0.35), "Vượt KPI", IF(AND(K279&gt;=20000, S279&gt;=0), "Đạt KPI", "Chưa đạt KPI"))</f>
        <v/>
      </c>
    </row>
    <row r="280">
      <c r="A280" s="10" t="inlineStr">
        <is>
          <t>SP-0277</t>
        </is>
      </c>
      <c r="B280" s="11" t="n">
        <v>46178</v>
      </c>
      <c r="C280" s="10" t="inlineStr">
        <is>
          <t>Tháng 06/2026</t>
        </is>
      </c>
      <c r="D280" s="10" t="inlineStr">
        <is>
          <t>Quý 2</t>
        </is>
      </c>
      <c r="E280" s="5" t="inlineStr">
        <is>
          <t>Ban Công nghệ &amp; AI</t>
        </is>
      </c>
      <c r="F280" s="5" t="inlineStr">
        <is>
          <t>Nhóm Ngọc Ánh</t>
        </is>
      </c>
      <c r="G280" s="5" t="inlineStr">
        <is>
          <t>Facebook Page</t>
        </is>
      </c>
      <c r="H280" s="5" t="inlineStr">
        <is>
          <t>Photo Story / Carousel</t>
        </is>
      </c>
      <c r="I280" s="5" t="inlineStr">
        <is>
          <t>Kinh tế - Thị trường</t>
        </is>
      </c>
      <c r="J280" s="5" t="inlineStr">
        <is>
          <t>Thủ công (0%)</t>
        </is>
      </c>
      <c r="K280" s="12" t="n">
        <v>154852</v>
      </c>
      <c r="L280" s="12" t="n">
        <v>9972</v>
      </c>
      <c r="M280" s="13">
        <f>L280/K280</f>
        <v/>
      </c>
      <c r="N280" s="12" t="n">
        <v>174</v>
      </c>
      <c r="O280" s="13" t="n">
        <v>0.4115</v>
      </c>
      <c r="P280" s="12" t="n">
        <v>4750000</v>
      </c>
      <c r="Q280" s="12" t="n">
        <v>2500000</v>
      </c>
      <c r="R280" s="12">
        <f>Q280-P280</f>
        <v/>
      </c>
      <c r="S280" s="13">
        <f>(Q280-P280)/P280</f>
        <v/>
      </c>
      <c r="T280" s="10">
        <f>IF(AND(K280&gt;=50000, S280&gt;=0.35), "Vượt KPI", IF(AND(K280&gt;=20000, S280&gt;=0), "Đạt KPI", "Chưa đạt KPI"))</f>
        <v/>
      </c>
    </row>
    <row r="281">
      <c r="A281" s="14" t="inlineStr">
        <is>
          <t>SP-0278</t>
        </is>
      </c>
      <c r="B281" s="15" t="n">
        <v>46153</v>
      </c>
      <c r="C281" s="14" t="inlineStr">
        <is>
          <t>Tháng 05/2026</t>
        </is>
      </c>
      <c r="D281" s="14" t="inlineStr">
        <is>
          <t>Quý 2</t>
        </is>
      </c>
      <c r="E281" s="16" t="inlineStr">
        <is>
          <t>Ban Kinh tế - Tài chính</t>
        </is>
      </c>
      <c r="F281" s="16" t="inlineStr">
        <is>
          <t>Nhóm Minh Tuấn</t>
        </is>
      </c>
      <c r="G281" s="16" t="inlineStr">
        <is>
          <t>Báo Điện tử (Web)</t>
        </is>
      </c>
      <c r="H281" s="16" t="inlineStr">
        <is>
          <t>Infographic / Mega Story</t>
        </is>
      </c>
      <c r="I281" s="16" t="inlineStr">
        <is>
          <t>Tài chính Cá nhân &amp; Đầu tư</t>
        </is>
      </c>
      <c r="J281" s="16" t="inlineStr">
        <is>
          <t>Cơ bản (15%)</t>
        </is>
      </c>
      <c r="K281" s="17" t="n">
        <v>141461</v>
      </c>
      <c r="L281" s="17" t="n">
        <v>8176</v>
      </c>
      <c r="M281" s="18">
        <f>L281/K281</f>
        <v/>
      </c>
      <c r="N281" s="17" t="n">
        <v>163</v>
      </c>
      <c r="O281" s="18" t="n">
        <v>0.4317</v>
      </c>
      <c r="P281" s="17" t="n">
        <v>4650000</v>
      </c>
      <c r="Q281" s="17" t="n">
        <v>12500000</v>
      </c>
      <c r="R281" s="17">
        <f>Q281-P281</f>
        <v/>
      </c>
      <c r="S281" s="18">
        <f>(Q281-P281)/P281</f>
        <v/>
      </c>
      <c r="T281" s="14">
        <f>IF(AND(K281&gt;=50000, S281&gt;=0.35), "Vượt KPI", IF(AND(K281&gt;=20000, S281&gt;=0), "Đạt KPI", "Chưa đạt KPI"))</f>
        <v/>
      </c>
    </row>
    <row r="282">
      <c r="A282" s="10" t="inlineStr">
        <is>
          <t>SP-0279</t>
        </is>
      </c>
      <c r="B282" s="11" t="n">
        <v>46075</v>
      </c>
      <c r="C282" s="10" t="inlineStr">
        <is>
          <t>Tháng 02/2026</t>
        </is>
      </c>
      <c r="D282" s="10" t="inlineStr">
        <is>
          <t>Quý 1</t>
        </is>
      </c>
      <c r="E282" s="5" t="inlineStr">
        <is>
          <t>Ban Phóng sự - Điều tra</t>
        </is>
      </c>
      <c r="F282" s="5" t="inlineStr">
        <is>
          <t>Nhóm Khánh Linh</t>
        </is>
      </c>
      <c r="G282" s="5" t="inlineStr">
        <is>
          <t>Facebook Page</t>
        </is>
      </c>
      <c r="H282" s="5" t="inlineStr">
        <is>
          <t>Photo Story / Carousel</t>
        </is>
      </c>
      <c r="I282" s="5" t="inlineStr">
        <is>
          <t>Đời sống - Xã hội</t>
        </is>
      </c>
      <c r="J282" s="5" t="inlineStr">
        <is>
          <t>Toàn trình (70%)</t>
        </is>
      </c>
      <c r="K282" s="12" t="n">
        <v>34825</v>
      </c>
      <c r="L282" s="12" t="n">
        <v>2357</v>
      </c>
      <c r="M282" s="13">
        <f>L282/K282</f>
        <v/>
      </c>
      <c r="N282" s="12" t="n">
        <v>103</v>
      </c>
      <c r="O282" s="13" t="n">
        <v>0.4796</v>
      </c>
      <c r="P282" s="12" t="n">
        <v>3050000</v>
      </c>
      <c r="Q282" s="12" t="n">
        <v>5800000</v>
      </c>
      <c r="R282" s="12">
        <f>Q282-P282</f>
        <v/>
      </c>
      <c r="S282" s="13">
        <f>(Q282-P282)/P282</f>
        <v/>
      </c>
      <c r="T282" s="10">
        <f>IF(AND(K282&gt;=50000, S282&gt;=0.35), "Vượt KPI", IF(AND(K282&gt;=20000, S282&gt;=0), "Đạt KPI", "Chưa đạt KPI"))</f>
        <v/>
      </c>
    </row>
    <row r="283">
      <c r="A283" s="14" t="inlineStr">
        <is>
          <t>SP-0280</t>
        </is>
      </c>
      <c r="B283" s="15" t="n">
        <v>46169</v>
      </c>
      <c r="C283" s="14" t="inlineStr">
        <is>
          <t>Tháng 05/2026</t>
        </is>
      </c>
      <c r="D283" s="14" t="inlineStr">
        <is>
          <t>Quý 2</t>
        </is>
      </c>
      <c r="E283" s="16" t="inlineStr">
        <is>
          <t>Ban Công nghệ &amp; AI</t>
        </is>
      </c>
      <c r="F283" s="16" t="inlineStr">
        <is>
          <t>Nhóm Tuấn Kiệt</t>
        </is>
      </c>
      <c r="G283" s="16" t="inlineStr">
        <is>
          <t>TikTok</t>
        </is>
      </c>
      <c r="H283" s="16" t="inlineStr">
        <is>
          <t>TikTok Reel (1-3p)</t>
        </is>
      </c>
      <c r="I283" s="16" t="inlineStr">
        <is>
          <t>Giáo dục &amp; Tuyển sinh</t>
        </is>
      </c>
      <c r="J283" s="16" t="inlineStr">
        <is>
          <t>Thủ công (0%)</t>
        </is>
      </c>
      <c r="K283" s="17" t="n">
        <v>315094</v>
      </c>
      <c r="L283" s="17" t="n">
        <v>33494</v>
      </c>
      <c r="M283" s="18">
        <f>L283/K283</f>
        <v/>
      </c>
      <c r="N283" s="17" t="n">
        <v>44</v>
      </c>
      <c r="O283" s="18" t="n">
        <v>0.498</v>
      </c>
      <c r="P283" s="17" t="n">
        <v>2400000</v>
      </c>
      <c r="Q283" s="17" t="n">
        <v>10800000</v>
      </c>
      <c r="R283" s="17">
        <f>Q283-P283</f>
        <v/>
      </c>
      <c r="S283" s="18">
        <f>(Q283-P283)/P283</f>
        <v/>
      </c>
      <c r="T283" s="14">
        <f>IF(AND(K283&gt;=50000, S283&gt;=0.35), "Vượt KPI", IF(AND(K283&gt;=20000, S283&gt;=0), "Đạt KPI", "Chưa đạt KPI"))</f>
        <v/>
      </c>
    </row>
    <row r="284">
      <c r="A284" s="10" t="inlineStr">
        <is>
          <t>SP-0281</t>
        </is>
      </c>
      <c r="B284" s="11" t="n">
        <v>46076</v>
      </c>
      <c r="C284" s="10" t="inlineStr">
        <is>
          <t>Tháng 02/2026</t>
        </is>
      </c>
      <c r="D284" s="10" t="inlineStr">
        <is>
          <t>Quý 1</t>
        </is>
      </c>
      <c r="E284" s="5" t="inlineStr">
        <is>
          <t>Ban Thời sự - Chính trị</t>
        </is>
      </c>
      <c r="F284" s="5" t="inlineStr">
        <is>
          <t>Nhóm Việt Anh</t>
        </is>
      </c>
      <c r="G284" s="5" t="inlineStr">
        <is>
          <t>Facebook Page</t>
        </is>
      </c>
      <c r="H284" s="5" t="inlineStr">
        <is>
          <t>Video Bản tin (3-5p)</t>
        </is>
      </c>
      <c r="I284" s="5" t="inlineStr">
        <is>
          <t>Kinh tế - Thị trường</t>
        </is>
      </c>
      <c r="J284" s="5" t="inlineStr">
        <is>
          <t>Hỗ trợ sâu (40%)</t>
        </is>
      </c>
      <c r="K284" s="12" t="n">
        <v>61498</v>
      </c>
      <c r="L284" s="12" t="n">
        <v>4538</v>
      </c>
      <c r="M284" s="13">
        <f>L284/K284</f>
        <v/>
      </c>
      <c r="N284" s="12" t="n">
        <v>83</v>
      </c>
      <c r="O284" s="13" t="n">
        <v>0.6415</v>
      </c>
      <c r="P284" s="12" t="n">
        <v>2450000</v>
      </c>
      <c r="Q284" s="12" t="n">
        <v>4000000</v>
      </c>
      <c r="R284" s="12">
        <f>Q284-P284</f>
        <v/>
      </c>
      <c r="S284" s="13">
        <f>(Q284-P284)/P284</f>
        <v/>
      </c>
      <c r="T284" s="10">
        <f>IF(AND(K284&gt;=50000, S284&gt;=0.35), "Vượt KPI", IF(AND(K284&gt;=20000, S284&gt;=0), "Đạt KPI", "Chưa đạt KPI"))</f>
        <v/>
      </c>
    </row>
    <row r="285">
      <c r="A285" s="14" t="inlineStr">
        <is>
          <t>SP-0282</t>
        </is>
      </c>
      <c r="B285" s="15" t="n">
        <v>46038</v>
      </c>
      <c r="C285" s="14" t="inlineStr">
        <is>
          <t>Tháng 01/2026</t>
        </is>
      </c>
      <c r="D285" s="14" t="inlineStr">
        <is>
          <t>Quý 1</t>
        </is>
      </c>
      <c r="E285" s="16" t="inlineStr">
        <is>
          <t>Ban Phóng sự - Điều tra</t>
        </is>
      </c>
      <c r="F285" s="16" t="inlineStr">
        <is>
          <t>Nhóm Hải Đăng</t>
        </is>
      </c>
      <c r="G285" s="16" t="inlineStr">
        <is>
          <t>Facebook Page</t>
        </is>
      </c>
      <c r="H285" s="16" t="inlineStr">
        <is>
          <t>Photo Story / Carousel</t>
        </is>
      </c>
      <c r="I285" s="16" t="inlineStr">
        <is>
          <t>Đời sống - Xã hội</t>
        </is>
      </c>
      <c r="J285" s="16" t="inlineStr">
        <is>
          <t>Hỗ trợ sâu (40%)</t>
        </is>
      </c>
      <c r="K285" s="17" t="n">
        <v>167541</v>
      </c>
      <c r="L285" s="17" t="n">
        <v>14743</v>
      </c>
      <c r="M285" s="18">
        <f>L285/K285</f>
        <v/>
      </c>
      <c r="N285" s="17" t="n">
        <v>142</v>
      </c>
      <c r="O285" s="18" t="n">
        <v>0.4726</v>
      </c>
      <c r="P285" s="17" t="n">
        <v>2650000</v>
      </c>
      <c r="Q285" s="17" t="n">
        <v>3550000</v>
      </c>
      <c r="R285" s="17">
        <f>Q285-P285</f>
        <v/>
      </c>
      <c r="S285" s="18">
        <f>(Q285-P285)/P285</f>
        <v/>
      </c>
      <c r="T285" s="14">
        <f>IF(AND(K285&gt;=50000, S285&gt;=0.35), "Vượt KPI", IF(AND(K285&gt;=20000, S285&gt;=0), "Đạt KPI", "Chưa đạt KPI"))</f>
        <v/>
      </c>
    </row>
    <row r="286">
      <c r="A286" s="10" t="inlineStr">
        <is>
          <t>SP-0283</t>
        </is>
      </c>
      <c r="B286" s="11" t="n">
        <v>46096</v>
      </c>
      <c r="C286" s="10" t="inlineStr">
        <is>
          <t>Tháng 03/2026</t>
        </is>
      </c>
      <c r="D286" s="10" t="inlineStr">
        <is>
          <t>Quý 1</t>
        </is>
      </c>
      <c r="E286" s="5" t="inlineStr">
        <is>
          <t>Ban Thời sự - Chính trị</t>
        </is>
      </c>
      <c r="F286" s="5" t="inlineStr">
        <is>
          <t>Nhóm Quang Huy</t>
        </is>
      </c>
      <c r="G286" s="5" t="inlineStr">
        <is>
          <t>YouTube</t>
        </is>
      </c>
      <c r="H286" s="5" t="inlineStr">
        <is>
          <t>YouTube Shorts</t>
        </is>
      </c>
      <c r="I286" s="5" t="inlineStr">
        <is>
          <t>Tài chính Cá nhân &amp; Đầu tư</t>
        </is>
      </c>
      <c r="J286" s="5" t="inlineStr">
        <is>
          <t>Thủ công (0%)</t>
        </is>
      </c>
      <c r="K286" s="12" t="n">
        <v>668977</v>
      </c>
      <c r="L286" s="12" t="n">
        <v>17995</v>
      </c>
      <c r="M286" s="13">
        <f>L286/K286</f>
        <v/>
      </c>
      <c r="N286" s="12" t="n">
        <v>139</v>
      </c>
      <c r="O286" s="13" t="n">
        <v>0.4405</v>
      </c>
      <c r="P286" s="12" t="n">
        <v>3950000</v>
      </c>
      <c r="Q286" s="12" t="n">
        <v>8750000</v>
      </c>
      <c r="R286" s="12">
        <f>Q286-P286</f>
        <v/>
      </c>
      <c r="S286" s="13">
        <f>(Q286-P286)/P286</f>
        <v/>
      </c>
      <c r="T286" s="10">
        <f>IF(AND(K286&gt;=50000, S286&gt;=0.35), "Vượt KPI", IF(AND(K286&gt;=20000, S286&gt;=0), "Đạt KPI", "Chưa đạt KPI"))</f>
        <v/>
      </c>
    </row>
    <row r="287">
      <c r="A287" s="14" t="inlineStr">
        <is>
          <t>SP-0284</t>
        </is>
      </c>
      <c r="B287" s="15" t="n">
        <v>46077</v>
      </c>
      <c r="C287" s="14" t="inlineStr">
        <is>
          <t>Tháng 02/2026</t>
        </is>
      </c>
      <c r="D287" s="14" t="inlineStr">
        <is>
          <t>Quý 1</t>
        </is>
      </c>
      <c r="E287" s="16" t="inlineStr">
        <is>
          <t>Ban Đời sống - Giới trẻ</t>
        </is>
      </c>
      <c r="F287" s="16" t="inlineStr">
        <is>
          <t>Nhóm Phương Thảo</t>
        </is>
      </c>
      <c r="G287" s="16" t="inlineStr">
        <is>
          <t>Podcast / Audio</t>
        </is>
      </c>
      <c r="H287" s="16" t="inlineStr">
        <is>
          <t>Điểm tin Audio AI (5p)</t>
        </is>
      </c>
      <c r="I287" s="16" t="inlineStr">
        <is>
          <t>Phóng sự Điều tra</t>
        </is>
      </c>
      <c r="J287" s="16" t="inlineStr">
        <is>
          <t>Hỗ trợ sâu (40%)</t>
        </is>
      </c>
      <c r="K287" s="17" t="n">
        <v>20408</v>
      </c>
      <c r="L287" s="17" t="n">
        <v>1114</v>
      </c>
      <c r="M287" s="18">
        <f>L287/K287</f>
        <v/>
      </c>
      <c r="N287" s="17" t="n">
        <v>409</v>
      </c>
      <c r="O287" s="18" t="n">
        <v>0.7045</v>
      </c>
      <c r="P287" s="17" t="n">
        <v>1600000</v>
      </c>
      <c r="Q287" s="17" t="n">
        <v>800000</v>
      </c>
      <c r="R287" s="17">
        <f>Q287-P287</f>
        <v/>
      </c>
      <c r="S287" s="18">
        <f>(Q287-P287)/P287</f>
        <v/>
      </c>
      <c r="T287" s="14">
        <f>IF(AND(K287&gt;=50000, S287&gt;=0.35), "Vượt KPI", IF(AND(K287&gt;=20000, S287&gt;=0), "Đạt KPI", "Chưa đạt KPI"))</f>
        <v/>
      </c>
    </row>
    <row r="288">
      <c r="A288" s="10" t="inlineStr">
        <is>
          <t>SP-0285</t>
        </is>
      </c>
      <c r="B288" s="11" t="n">
        <v>46100</v>
      </c>
      <c r="C288" s="10" t="inlineStr">
        <is>
          <t>Tháng 03/2026</t>
        </is>
      </c>
      <c r="D288" s="10" t="inlineStr">
        <is>
          <t>Quý 1</t>
        </is>
      </c>
      <c r="E288" s="5" t="inlineStr">
        <is>
          <t>Ban Phóng sự - Điều tra</t>
        </is>
      </c>
      <c r="F288" s="5" t="inlineStr">
        <is>
          <t>Nhóm Khánh Linh</t>
        </is>
      </c>
      <c r="G288" s="5" t="inlineStr">
        <is>
          <t>Báo Điện tử (Web)</t>
        </is>
      </c>
      <c r="H288" s="5" t="inlineStr">
        <is>
          <t>Tin bài Đa phương tiện</t>
        </is>
      </c>
      <c r="I288" s="5" t="inlineStr">
        <is>
          <t>Chính sách &amp; Pháp luật</t>
        </is>
      </c>
      <c r="J288" s="5" t="inlineStr">
        <is>
          <t>Toàn trình (70%)</t>
        </is>
      </c>
      <c r="K288" s="12" t="n">
        <v>258729</v>
      </c>
      <c r="L288" s="12" t="n">
        <v>16429</v>
      </c>
      <c r="M288" s="13">
        <f>L288/K288</f>
        <v/>
      </c>
      <c r="N288" s="12" t="n">
        <v>225</v>
      </c>
      <c r="O288" s="13" t="n">
        <v>0.387</v>
      </c>
      <c r="P288" s="12" t="n">
        <v>1350000</v>
      </c>
      <c r="Q288" s="12" t="n">
        <v>3050000</v>
      </c>
      <c r="R288" s="12">
        <f>Q288-P288</f>
        <v/>
      </c>
      <c r="S288" s="13">
        <f>(Q288-P288)/P288</f>
        <v/>
      </c>
      <c r="T288" s="10">
        <f>IF(AND(K288&gt;=50000, S288&gt;=0.35), "Vượt KPI", IF(AND(K288&gt;=20000, S288&gt;=0), "Đạt KPI", "Chưa đạt KPI"))</f>
        <v/>
      </c>
    </row>
    <row r="289">
      <c r="A289" s="14" t="inlineStr">
        <is>
          <t>SP-0286</t>
        </is>
      </c>
      <c r="B289" s="15" t="n">
        <v>46120</v>
      </c>
      <c r="C289" s="14" t="inlineStr">
        <is>
          <t>Tháng 04/2026</t>
        </is>
      </c>
      <c r="D289" s="14" t="inlineStr">
        <is>
          <t>Quý 2</t>
        </is>
      </c>
      <c r="E289" s="16" t="inlineStr">
        <is>
          <t>Ban Video &amp; Truyền hình số</t>
        </is>
      </c>
      <c r="F289" s="16" t="inlineStr">
        <is>
          <t>Nhóm Đặng Minh</t>
        </is>
      </c>
      <c r="G289" s="16" t="inlineStr">
        <is>
          <t>TikTok</t>
        </is>
      </c>
      <c r="H289" s="16" t="inlineStr">
        <is>
          <t>TikTok Reel (1-3p)</t>
        </is>
      </c>
      <c r="I289" s="16" t="inlineStr">
        <is>
          <t>Giáo dục &amp; Tuyển sinh</t>
        </is>
      </c>
      <c r="J289" s="16" t="inlineStr">
        <is>
          <t>Hỗ trợ sâu (40%)</t>
        </is>
      </c>
      <c r="K289" s="17" t="n">
        <v>431082</v>
      </c>
      <c r="L289" s="17" t="n">
        <v>41599</v>
      </c>
      <c r="M289" s="18">
        <f>L289/K289</f>
        <v/>
      </c>
      <c r="N289" s="17" t="n">
        <v>72</v>
      </c>
      <c r="O289" s="18" t="n">
        <v>0.3953</v>
      </c>
      <c r="P289" s="17" t="n">
        <v>750000</v>
      </c>
      <c r="Q289" s="17" t="n">
        <v>1600000</v>
      </c>
      <c r="R289" s="17">
        <f>Q289-P289</f>
        <v/>
      </c>
      <c r="S289" s="18">
        <f>(Q289-P289)/P289</f>
        <v/>
      </c>
      <c r="T289" s="14">
        <f>IF(AND(K289&gt;=50000, S289&gt;=0.35), "Vượt KPI", IF(AND(K289&gt;=20000, S289&gt;=0), "Đạt KPI", "Chưa đạt KPI"))</f>
        <v/>
      </c>
    </row>
    <row r="290">
      <c r="A290" s="10" t="inlineStr">
        <is>
          <t>SP-0287</t>
        </is>
      </c>
      <c r="B290" s="11" t="n">
        <v>46150</v>
      </c>
      <c r="C290" s="10" t="inlineStr">
        <is>
          <t>Tháng 05/2026</t>
        </is>
      </c>
      <c r="D290" s="10" t="inlineStr">
        <is>
          <t>Quý 2</t>
        </is>
      </c>
      <c r="E290" s="5" t="inlineStr">
        <is>
          <t>Ban Kinh tế - Tài chính</t>
        </is>
      </c>
      <c r="F290" s="5" t="inlineStr">
        <is>
          <t>Nhóm Lan Hương</t>
        </is>
      </c>
      <c r="G290" s="5" t="inlineStr">
        <is>
          <t>YouTube</t>
        </is>
      </c>
      <c r="H290" s="5" t="inlineStr">
        <is>
          <t>YouTube Long-form (10-25p)</t>
        </is>
      </c>
      <c r="I290" s="5" t="inlineStr">
        <is>
          <t>Chính sách &amp; Pháp luật</t>
        </is>
      </c>
      <c r="J290" s="5" t="inlineStr">
        <is>
          <t>Hỗ trợ sâu (40%)</t>
        </is>
      </c>
      <c r="K290" s="12" t="n">
        <v>139895</v>
      </c>
      <c r="L290" s="12" t="n">
        <v>5036</v>
      </c>
      <c r="M290" s="13">
        <f>L290/K290</f>
        <v/>
      </c>
      <c r="N290" s="12" t="n">
        <v>694</v>
      </c>
      <c r="O290" s="13" t="n">
        <v>0.4533</v>
      </c>
      <c r="P290" s="12" t="n">
        <v>5950000</v>
      </c>
      <c r="Q290" s="12" t="n">
        <v>18500000</v>
      </c>
      <c r="R290" s="12">
        <f>Q290-P290</f>
        <v/>
      </c>
      <c r="S290" s="13">
        <f>(Q290-P290)/P290</f>
        <v/>
      </c>
      <c r="T290" s="10">
        <f>IF(AND(K290&gt;=50000, S290&gt;=0.35), "Vượt KPI", IF(AND(K290&gt;=20000, S290&gt;=0), "Đạt KPI", "Chưa đạt KPI"))</f>
        <v/>
      </c>
    </row>
    <row r="291">
      <c r="A291" s="14" t="inlineStr">
        <is>
          <t>SP-0288</t>
        </is>
      </c>
      <c r="B291" s="15" t="n">
        <v>46188</v>
      </c>
      <c r="C291" s="14" t="inlineStr">
        <is>
          <t>Tháng 06/2026</t>
        </is>
      </c>
      <c r="D291" s="14" t="inlineStr">
        <is>
          <t>Quý 2</t>
        </is>
      </c>
      <c r="E291" s="16" t="inlineStr">
        <is>
          <t>Ban Kinh tế - Tài chính</t>
        </is>
      </c>
      <c r="F291" s="16" t="inlineStr">
        <is>
          <t>Nhóm Minh Tuấn</t>
        </is>
      </c>
      <c r="G291" s="16" t="inlineStr">
        <is>
          <t>YouTube</t>
        </is>
      </c>
      <c r="H291" s="16" t="inlineStr">
        <is>
          <t>YouTube Long-form (10-25p)</t>
        </is>
      </c>
      <c r="I291" s="16" t="inlineStr">
        <is>
          <t>Tài chính Cá nhân &amp; Đầu tư</t>
        </is>
      </c>
      <c r="J291" s="16" t="inlineStr">
        <is>
          <t>Hỗ trợ sâu (40%)</t>
        </is>
      </c>
      <c r="K291" s="17" t="n">
        <v>672034</v>
      </c>
      <c r="L291" s="17" t="n">
        <v>23655</v>
      </c>
      <c r="M291" s="18">
        <f>L291/K291</f>
        <v/>
      </c>
      <c r="N291" s="17" t="n">
        <v>138</v>
      </c>
      <c r="O291" s="18" t="n">
        <v>0.5881999999999999</v>
      </c>
      <c r="P291" s="17" t="n">
        <v>5800000</v>
      </c>
      <c r="Q291" s="17" t="n">
        <v>25400000</v>
      </c>
      <c r="R291" s="17">
        <f>Q291-P291</f>
        <v/>
      </c>
      <c r="S291" s="18">
        <f>(Q291-P291)/P291</f>
        <v/>
      </c>
      <c r="T291" s="14">
        <f>IF(AND(K291&gt;=50000, S291&gt;=0.35), "Vượt KPI", IF(AND(K291&gt;=20000, S291&gt;=0), "Đạt KPI", "Chưa đạt KPI"))</f>
        <v/>
      </c>
    </row>
    <row r="292">
      <c r="A292" s="10" t="inlineStr">
        <is>
          <t>SP-0289</t>
        </is>
      </c>
      <c r="B292" s="11" t="n">
        <v>46120</v>
      </c>
      <c r="C292" s="10" t="inlineStr">
        <is>
          <t>Tháng 04/2026</t>
        </is>
      </c>
      <c r="D292" s="10" t="inlineStr">
        <is>
          <t>Quý 2</t>
        </is>
      </c>
      <c r="E292" s="5" t="inlineStr">
        <is>
          <t>Ban Video &amp; Truyền hình số</t>
        </is>
      </c>
      <c r="F292" s="5" t="inlineStr">
        <is>
          <t>Nhóm Hoàng Hải</t>
        </is>
      </c>
      <c r="G292" s="5" t="inlineStr">
        <is>
          <t>TikTok</t>
        </is>
      </c>
      <c r="H292" s="5" t="inlineStr">
        <is>
          <t>TikTok Reel (1-3p)</t>
        </is>
      </c>
      <c r="I292" s="5" t="inlineStr">
        <is>
          <t>Phóng sự Điều tra</t>
        </is>
      </c>
      <c r="J292" s="5" t="inlineStr">
        <is>
          <t>Toàn trình (70%)</t>
        </is>
      </c>
      <c r="K292" s="12" t="n">
        <v>345365</v>
      </c>
      <c r="L292" s="12" t="n">
        <v>41892</v>
      </c>
      <c r="M292" s="13">
        <f>L292/K292</f>
        <v/>
      </c>
      <c r="N292" s="12" t="n">
        <v>55</v>
      </c>
      <c r="O292" s="13" t="n">
        <v>0.5229</v>
      </c>
      <c r="P292" s="12" t="n">
        <v>2100000</v>
      </c>
      <c r="Q292" s="12" t="n">
        <v>10000000</v>
      </c>
      <c r="R292" s="12">
        <f>Q292-P292</f>
        <v/>
      </c>
      <c r="S292" s="13">
        <f>(Q292-P292)/P292</f>
        <v/>
      </c>
      <c r="T292" s="10">
        <f>IF(AND(K292&gt;=50000, S292&gt;=0.35), "Vượt KPI", IF(AND(K292&gt;=20000, S292&gt;=0), "Đạt KPI", "Chưa đạt KPI"))</f>
        <v/>
      </c>
    </row>
    <row r="293">
      <c r="A293" s="14" t="inlineStr">
        <is>
          <t>SP-0290</t>
        </is>
      </c>
      <c r="B293" s="15" t="n">
        <v>46133</v>
      </c>
      <c r="C293" s="14" t="inlineStr">
        <is>
          <t>Tháng 04/2026</t>
        </is>
      </c>
      <c r="D293" s="14" t="inlineStr">
        <is>
          <t>Quý 2</t>
        </is>
      </c>
      <c r="E293" s="16" t="inlineStr">
        <is>
          <t>Ban Phóng sự - Điều tra</t>
        </is>
      </c>
      <c r="F293" s="16" t="inlineStr">
        <is>
          <t>Nhóm Khánh Linh</t>
        </is>
      </c>
      <c r="G293" s="16" t="inlineStr">
        <is>
          <t>YouTube</t>
        </is>
      </c>
      <c r="H293" s="16" t="inlineStr">
        <is>
          <t>YouTube Long-form (10-25p)</t>
        </is>
      </c>
      <c r="I293" s="16" t="inlineStr">
        <is>
          <t>Đời sống - Xã hội</t>
        </is>
      </c>
      <c r="J293" s="16" t="inlineStr">
        <is>
          <t>Hỗ trợ sâu (40%)</t>
        </is>
      </c>
      <c r="K293" s="17" t="n">
        <v>479036</v>
      </c>
      <c r="L293" s="17" t="n">
        <v>19353</v>
      </c>
      <c r="M293" s="18">
        <f>L293/K293</f>
        <v/>
      </c>
      <c r="N293" s="17" t="n">
        <v>436</v>
      </c>
      <c r="O293" s="18" t="n">
        <v>0.7765</v>
      </c>
      <c r="P293" s="17" t="n">
        <v>4350000</v>
      </c>
      <c r="Q293" s="17" t="n">
        <v>15400000</v>
      </c>
      <c r="R293" s="17">
        <f>Q293-P293</f>
        <v/>
      </c>
      <c r="S293" s="18">
        <f>(Q293-P293)/P293</f>
        <v/>
      </c>
      <c r="T293" s="14">
        <f>IF(AND(K293&gt;=50000, S293&gt;=0.35), "Vượt KPI", IF(AND(K293&gt;=20000, S293&gt;=0), "Đạt KPI", "Chưa đạt KPI"))</f>
        <v/>
      </c>
    </row>
    <row r="294">
      <c r="A294" s="10" t="inlineStr">
        <is>
          <t>SP-0291</t>
        </is>
      </c>
      <c r="B294" s="11" t="n">
        <v>46198</v>
      </c>
      <c r="C294" s="10" t="inlineStr">
        <is>
          <t>Tháng 06/2026</t>
        </is>
      </c>
      <c r="D294" s="10" t="inlineStr">
        <is>
          <t>Quý 2</t>
        </is>
      </c>
      <c r="E294" s="5" t="inlineStr">
        <is>
          <t>Ban Đời sống - Giới trẻ</t>
        </is>
      </c>
      <c r="F294" s="5" t="inlineStr">
        <is>
          <t>Nhóm Phương Thảo</t>
        </is>
      </c>
      <c r="G294" s="5" t="inlineStr">
        <is>
          <t>Báo Điện tử (Web)</t>
        </is>
      </c>
      <c r="H294" s="5" t="inlineStr">
        <is>
          <t>Infographic / Mega Story</t>
        </is>
      </c>
      <c r="I294" s="5" t="inlineStr">
        <is>
          <t>Tài chính Cá nhân &amp; Đầu tư</t>
        </is>
      </c>
      <c r="J294" s="5" t="inlineStr">
        <is>
          <t>Cơ bản (15%)</t>
        </is>
      </c>
      <c r="K294" s="12" t="n">
        <v>44496</v>
      </c>
      <c r="L294" s="12" t="n">
        <v>2100</v>
      </c>
      <c r="M294" s="13">
        <f>L294/K294</f>
        <v/>
      </c>
      <c r="N294" s="12" t="n">
        <v>185</v>
      </c>
      <c r="O294" s="13" t="n">
        <v>0.4477</v>
      </c>
      <c r="P294" s="12" t="n">
        <v>4550000</v>
      </c>
      <c r="Q294" s="12" t="n">
        <v>20150000</v>
      </c>
      <c r="R294" s="12">
        <f>Q294-P294</f>
        <v/>
      </c>
      <c r="S294" s="13">
        <f>(Q294-P294)/P294</f>
        <v/>
      </c>
      <c r="T294" s="10">
        <f>IF(AND(K294&gt;=50000, S294&gt;=0.35), "Vượt KPI", IF(AND(K294&gt;=20000, S294&gt;=0), "Đạt KPI", "Chưa đạt KPI"))</f>
        <v/>
      </c>
    </row>
    <row r="295">
      <c r="A295" s="14" t="inlineStr">
        <is>
          <t>SP-0292</t>
        </is>
      </c>
      <c r="B295" s="15" t="n">
        <v>46048</v>
      </c>
      <c r="C295" s="14" t="inlineStr">
        <is>
          <t>Tháng 01/2026</t>
        </is>
      </c>
      <c r="D295" s="14" t="inlineStr">
        <is>
          <t>Quý 1</t>
        </is>
      </c>
      <c r="E295" s="16" t="inlineStr">
        <is>
          <t>Ban Thời sự - Chính trị</t>
        </is>
      </c>
      <c r="F295" s="16" t="inlineStr">
        <is>
          <t>Nhóm Thanh Tâm</t>
        </is>
      </c>
      <c r="G295" s="16" t="inlineStr">
        <is>
          <t>TikTok</t>
        </is>
      </c>
      <c r="H295" s="16" t="inlineStr">
        <is>
          <t>TikTok Reel (1-3p)</t>
        </is>
      </c>
      <c r="I295" s="16" t="inlineStr">
        <is>
          <t>Tài chính Cá nhân &amp; Đầu tư</t>
        </is>
      </c>
      <c r="J295" s="16" t="inlineStr">
        <is>
          <t>Hỗ trợ sâu (40%)</t>
        </is>
      </c>
      <c r="K295" s="17" t="n">
        <v>216931</v>
      </c>
      <c r="L295" s="17" t="n">
        <v>10325</v>
      </c>
      <c r="M295" s="18">
        <f>L295/K295</f>
        <v/>
      </c>
      <c r="N295" s="17" t="n">
        <v>60</v>
      </c>
      <c r="O295" s="18" t="n">
        <v>0.5536</v>
      </c>
      <c r="P295" s="17" t="n">
        <v>1800000</v>
      </c>
      <c r="Q295" s="17" t="n">
        <v>3400000</v>
      </c>
      <c r="R295" s="17">
        <f>Q295-P295</f>
        <v/>
      </c>
      <c r="S295" s="18">
        <f>(Q295-P295)/P295</f>
        <v/>
      </c>
      <c r="T295" s="14">
        <f>IF(AND(K295&gt;=50000, S295&gt;=0.35), "Vượt KPI", IF(AND(K295&gt;=20000, S295&gt;=0), "Đạt KPI", "Chưa đạt KPI"))</f>
        <v/>
      </c>
    </row>
    <row r="296">
      <c r="A296" s="10" t="inlineStr">
        <is>
          <t>SP-0293</t>
        </is>
      </c>
      <c r="B296" s="11" t="n">
        <v>46127</v>
      </c>
      <c r="C296" s="10" t="inlineStr">
        <is>
          <t>Tháng 04/2026</t>
        </is>
      </c>
      <c r="D296" s="10" t="inlineStr">
        <is>
          <t>Quý 2</t>
        </is>
      </c>
      <c r="E296" s="5" t="inlineStr">
        <is>
          <t>Ban Phóng sự - Điều tra</t>
        </is>
      </c>
      <c r="F296" s="5" t="inlineStr">
        <is>
          <t>Nhóm Khánh Linh</t>
        </is>
      </c>
      <c r="G296" s="5" t="inlineStr">
        <is>
          <t>Báo Điện tử (Web)</t>
        </is>
      </c>
      <c r="H296" s="5" t="inlineStr">
        <is>
          <t>Longform / E-magazine</t>
        </is>
      </c>
      <c r="I296" s="5" t="inlineStr">
        <is>
          <t>Chính sách &amp; Pháp luật</t>
        </is>
      </c>
      <c r="J296" s="5" t="inlineStr">
        <is>
          <t>Thủ công (0%)</t>
        </is>
      </c>
      <c r="K296" s="12" t="n">
        <v>179843</v>
      </c>
      <c r="L296" s="12" t="n">
        <v>16473</v>
      </c>
      <c r="M296" s="13">
        <f>L296/K296</f>
        <v/>
      </c>
      <c r="N296" s="12" t="n">
        <v>103</v>
      </c>
      <c r="O296" s="13" t="n">
        <v>0.5401</v>
      </c>
      <c r="P296" s="12" t="n">
        <v>3550000</v>
      </c>
      <c r="Q296" s="12" t="n">
        <v>5500000</v>
      </c>
      <c r="R296" s="12">
        <f>Q296-P296</f>
        <v/>
      </c>
      <c r="S296" s="13">
        <f>(Q296-P296)/P296</f>
        <v/>
      </c>
      <c r="T296" s="10">
        <f>IF(AND(K296&gt;=50000, S296&gt;=0.35), "Vượt KPI", IF(AND(K296&gt;=20000, S296&gt;=0), "Đạt KPI", "Chưa đạt KPI"))</f>
        <v/>
      </c>
    </row>
    <row r="297">
      <c r="A297" s="14" t="inlineStr">
        <is>
          <t>SP-0294</t>
        </is>
      </c>
      <c r="B297" s="15" t="n">
        <v>46096</v>
      </c>
      <c r="C297" s="14" t="inlineStr">
        <is>
          <t>Tháng 03/2026</t>
        </is>
      </c>
      <c r="D297" s="14" t="inlineStr">
        <is>
          <t>Quý 1</t>
        </is>
      </c>
      <c r="E297" s="16" t="inlineStr">
        <is>
          <t>Ban Đời sống - Giới trẻ</t>
        </is>
      </c>
      <c r="F297" s="16" t="inlineStr">
        <is>
          <t>Nhóm Duy Khánh</t>
        </is>
      </c>
      <c r="G297" s="16" t="inlineStr">
        <is>
          <t>Báo Điện tử (Web)</t>
        </is>
      </c>
      <c r="H297" s="16" t="inlineStr">
        <is>
          <t>Infographic / Mega Story</t>
        </is>
      </c>
      <c r="I297" s="16" t="inlineStr">
        <is>
          <t>Kinh tế - Thị trường</t>
        </is>
      </c>
      <c r="J297" s="16" t="inlineStr">
        <is>
          <t>Toàn trình (70%)</t>
        </is>
      </c>
      <c r="K297" s="17" t="n">
        <v>383536</v>
      </c>
      <c r="L297" s="17" t="n">
        <v>21784</v>
      </c>
      <c r="M297" s="18">
        <f>L297/K297</f>
        <v/>
      </c>
      <c r="N297" s="17" t="n">
        <v>101</v>
      </c>
      <c r="O297" s="18" t="n">
        <v>0.6198</v>
      </c>
      <c r="P297" s="17" t="n">
        <v>4400000</v>
      </c>
      <c r="Q297" s="17" t="n">
        <v>9300000</v>
      </c>
      <c r="R297" s="17">
        <f>Q297-P297</f>
        <v/>
      </c>
      <c r="S297" s="18">
        <f>(Q297-P297)/P297</f>
        <v/>
      </c>
      <c r="T297" s="14">
        <f>IF(AND(K297&gt;=50000, S297&gt;=0.35), "Vượt KPI", IF(AND(K297&gt;=20000, S297&gt;=0), "Đạt KPI", "Chưa đạt KPI"))</f>
        <v/>
      </c>
    </row>
    <row r="298">
      <c r="A298" s="10" t="inlineStr">
        <is>
          <t>SP-0295</t>
        </is>
      </c>
      <c r="B298" s="11" t="n">
        <v>46146</v>
      </c>
      <c r="C298" s="10" t="inlineStr">
        <is>
          <t>Tháng 05/2026</t>
        </is>
      </c>
      <c r="D298" s="10" t="inlineStr">
        <is>
          <t>Quý 2</t>
        </is>
      </c>
      <c r="E298" s="5" t="inlineStr">
        <is>
          <t>Ban Video &amp; Truyền hình số</t>
        </is>
      </c>
      <c r="F298" s="5" t="inlineStr">
        <is>
          <t>Nhóm Hoàng Hải</t>
        </is>
      </c>
      <c r="G298" s="5" t="inlineStr">
        <is>
          <t>Báo Điện tử (Web)</t>
        </is>
      </c>
      <c r="H298" s="5" t="inlineStr">
        <is>
          <t>Longform / E-magazine</t>
        </is>
      </c>
      <c r="I298" s="5" t="inlineStr">
        <is>
          <t>Công nghệ &amp; AI</t>
        </is>
      </c>
      <c r="J298" s="5" t="inlineStr">
        <is>
          <t>Cơ bản (15%)</t>
        </is>
      </c>
      <c r="K298" s="12" t="n">
        <v>119019</v>
      </c>
      <c r="L298" s="12" t="n">
        <v>5677</v>
      </c>
      <c r="M298" s="13">
        <f>L298/K298</f>
        <v/>
      </c>
      <c r="N298" s="12" t="n">
        <v>163</v>
      </c>
      <c r="O298" s="13" t="n">
        <v>0.4142</v>
      </c>
      <c r="P298" s="12" t="n">
        <v>4750000</v>
      </c>
      <c r="Q298" s="12" t="n">
        <v>6450000</v>
      </c>
      <c r="R298" s="12">
        <f>Q298-P298</f>
        <v/>
      </c>
      <c r="S298" s="13">
        <f>(Q298-P298)/P298</f>
        <v/>
      </c>
      <c r="T298" s="10">
        <f>IF(AND(K298&gt;=50000, S298&gt;=0.35), "Vượt KPI", IF(AND(K298&gt;=20000, S298&gt;=0), "Đạt KPI", "Chưa đạt KPI"))</f>
        <v/>
      </c>
    </row>
    <row r="299">
      <c r="A299" s="14" t="inlineStr">
        <is>
          <t>SP-0296</t>
        </is>
      </c>
      <c r="B299" s="15" t="n">
        <v>46049</v>
      </c>
      <c r="C299" s="14" t="inlineStr">
        <is>
          <t>Tháng 01/2026</t>
        </is>
      </c>
      <c r="D299" s="14" t="inlineStr">
        <is>
          <t>Quý 1</t>
        </is>
      </c>
      <c r="E299" s="16" t="inlineStr">
        <is>
          <t>Ban Video &amp; Truyền hình số</t>
        </is>
      </c>
      <c r="F299" s="16" t="inlineStr">
        <is>
          <t>Nhóm Hoàng Hải</t>
        </is>
      </c>
      <c r="G299" s="16" t="inlineStr">
        <is>
          <t>YouTube</t>
        </is>
      </c>
      <c r="H299" s="16" t="inlineStr">
        <is>
          <t>YouTube Long-form (10-25p)</t>
        </is>
      </c>
      <c r="I299" s="16" t="inlineStr">
        <is>
          <t>Giáo dục &amp; Tuyển sinh</t>
        </is>
      </c>
      <c r="J299" s="16" t="inlineStr">
        <is>
          <t>Toàn trình (70%)</t>
        </is>
      </c>
      <c r="K299" s="17" t="n">
        <v>441506</v>
      </c>
      <c r="L299" s="17" t="n">
        <v>17704</v>
      </c>
      <c r="M299" s="18">
        <f>L299/K299</f>
        <v/>
      </c>
      <c r="N299" s="17" t="n">
        <v>64</v>
      </c>
      <c r="O299" s="18" t="n">
        <v>0.6097</v>
      </c>
      <c r="P299" s="17" t="n">
        <v>7350000</v>
      </c>
      <c r="Q299" s="17" t="n">
        <v>23800000</v>
      </c>
      <c r="R299" s="17">
        <f>Q299-P299</f>
        <v/>
      </c>
      <c r="S299" s="18">
        <f>(Q299-P299)/P299</f>
        <v/>
      </c>
      <c r="T299" s="14">
        <f>IF(AND(K299&gt;=50000, S299&gt;=0.35), "Vượt KPI", IF(AND(K299&gt;=20000, S299&gt;=0), "Đạt KPI", "Chưa đạt KPI"))</f>
        <v/>
      </c>
    </row>
    <row r="300">
      <c r="A300" s="10" t="inlineStr">
        <is>
          <t>SP-0297</t>
        </is>
      </c>
      <c r="B300" s="11" t="n">
        <v>46026</v>
      </c>
      <c r="C300" s="10" t="inlineStr">
        <is>
          <t>Tháng 01/2026</t>
        </is>
      </c>
      <c r="D300" s="10" t="inlineStr">
        <is>
          <t>Quý 1</t>
        </is>
      </c>
      <c r="E300" s="5" t="inlineStr">
        <is>
          <t>Ban Kinh tế - Tài chính</t>
        </is>
      </c>
      <c r="F300" s="5" t="inlineStr">
        <is>
          <t>Nhóm Minh Tuấn</t>
        </is>
      </c>
      <c r="G300" s="5" t="inlineStr">
        <is>
          <t>Podcast / Audio</t>
        </is>
      </c>
      <c r="H300" s="5" t="inlineStr">
        <is>
          <t>Podcast Chuyên sâu (20p)</t>
        </is>
      </c>
      <c r="I300" s="5" t="inlineStr">
        <is>
          <t>Chính sách &amp; Pháp luật</t>
        </is>
      </c>
      <c r="J300" s="5" t="inlineStr">
        <is>
          <t>Cơ bản (15%)</t>
        </is>
      </c>
      <c r="K300" s="12" t="n">
        <v>64171</v>
      </c>
      <c r="L300" s="12" t="n">
        <v>2207</v>
      </c>
      <c r="M300" s="13">
        <f>L300/K300</f>
        <v/>
      </c>
      <c r="N300" s="12" t="n">
        <v>846</v>
      </c>
      <c r="O300" s="13" t="n">
        <v>0.3627</v>
      </c>
      <c r="P300" s="12" t="n">
        <v>1900000</v>
      </c>
      <c r="Q300" s="12" t="n">
        <v>7450000</v>
      </c>
      <c r="R300" s="12">
        <f>Q300-P300</f>
        <v/>
      </c>
      <c r="S300" s="13">
        <f>(Q300-P300)/P300</f>
        <v/>
      </c>
      <c r="T300" s="10">
        <f>IF(AND(K300&gt;=50000, S300&gt;=0.35), "Vượt KPI", IF(AND(K300&gt;=20000, S300&gt;=0), "Đạt KPI", "Chưa đạt KPI"))</f>
        <v/>
      </c>
    </row>
    <row r="301">
      <c r="A301" s="14" t="inlineStr">
        <is>
          <t>SP-0298</t>
        </is>
      </c>
      <c r="B301" s="15" t="n">
        <v>46030</v>
      </c>
      <c r="C301" s="14" t="inlineStr">
        <is>
          <t>Tháng 01/2026</t>
        </is>
      </c>
      <c r="D301" s="14" t="inlineStr">
        <is>
          <t>Quý 1</t>
        </is>
      </c>
      <c r="E301" s="16" t="inlineStr">
        <is>
          <t>Ban Phóng sự - Điều tra</t>
        </is>
      </c>
      <c r="F301" s="16" t="inlineStr">
        <is>
          <t>Nhóm Khánh Linh</t>
        </is>
      </c>
      <c r="G301" s="16" t="inlineStr">
        <is>
          <t>TikTok</t>
        </is>
      </c>
      <c r="H301" s="16" t="inlineStr">
        <is>
          <t>TikTok Reel (1-3p)</t>
        </is>
      </c>
      <c r="I301" s="16" t="inlineStr">
        <is>
          <t>Phóng sự Điều tra</t>
        </is>
      </c>
      <c r="J301" s="16" t="inlineStr">
        <is>
          <t>Hỗ trợ sâu (40%)</t>
        </is>
      </c>
      <c r="K301" s="17" t="n">
        <v>472880</v>
      </c>
      <c r="L301" s="17" t="n">
        <v>28183</v>
      </c>
      <c r="M301" s="18">
        <f>L301/K301</f>
        <v/>
      </c>
      <c r="N301" s="17" t="n">
        <v>76</v>
      </c>
      <c r="O301" s="18" t="n">
        <v>0.5047</v>
      </c>
      <c r="P301" s="17" t="n">
        <v>1000000</v>
      </c>
      <c r="Q301" s="17" t="n">
        <v>2100000</v>
      </c>
      <c r="R301" s="17">
        <f>Q301-P301</f>
        <v/>
      </c>
      <c r="S301" s="18">
        <f>(Q301-P301)/P301</f>
        <v/>
      </c>
      <c r="T301" s="14">
        <f>IF(AND(K301&gt;=50000, S301&gt;=0.35), "Vượt KPI", IF(AND(K301&gt;=20000, S301&gt;=0), "Đạt KPI", "Chưa đạt KPI"))</f>
        <v/>
      </c>
    </row>
    <row r="302">
      <c r="A302" s="10" t="inlineStr">
        <is>
          <t>SP-0299</t>
        </is>
      </c>
      <c r="B302" s="11" t="n">
        <v>46056</v>
      </c>
      <c r="C302" s="10" t="inlineStr">
        <is>
          <t>Tháng 02/2026</t>
        </is>
      </c>
      <c r="D302" s="10" t="inlineStr">
        <is>
          <t>Quý 1</t>
        </is>
      </c>
      <c r="E302" s="5" t="inlineStr">
        <is>
          <t>Ban Video &amp; Truyền hình số</t>
        </is>
      </c>
      <c r="F302" s="5" t="inlineStr">
        <is>
          <t>Nhóm Thu Trang</t>
        </is>
      </c>
      <c r="G302" s="5" t="inlineStr">
        <is>
          <t>YouTube</t>
        </is>
      </c>
      <c r="H302" s="5" t="inlineStr">
        <is>
          <t>YouTube Documentary (&gt;25p)</t>
        </is>
      </c>
      <c r="I302" s="5" t="inlineStr">
        <is>
          <t>Giáo dục &amp; Tuyển sinh</t>
        </is>
      </c>
      <c r="J302" s="5" t="inlineStr">
        <is>
          <t>Hỗ trợ sâu (40%)</t>
        </is>
      </c>
      <c r="K302" s="12" t="n">
        <v>397990</v>
      </c>
      <c r="L302" s="12" t="n">
        <v>37450</v>
      </c>
      <c r="M302" s="13">
        <f>L302/K302</f>
        <v/>
      </c>
      <c r="N302" s="12" t="n">
        <v>624</v>
      </c>
      <c r="O302" s="13" t="n">
        <v>0.4977</v>
      </c>
      <c r="P302" s="12" t="n">
        <v>4400000</v>
      </c>
      <c r="Q302" s="12" t="n">
        <v>19600000</v>
      </c>
      <c r="R302" s="12">
        <f>Q302-P302</f>
        <v/>
      </c>
      <c r="S302" s="13">
        <f>(Q302-P302)/P302</f>
        <v/>
      </c>
      <c r="T302" s="10">
        <f>IF(AND(K302&gt;=50000, S302&gt;=0.35), "Vượt KPI", IF(AND(K302&gt;=20000, S302&gt;=0), "Đạt KPI", "Chưa đạt KPI"))</f>
        <v/>
      </c>
    </row>
    <row r="303">
      <c r="A303" s="14" t="inlineStr">
        <is>
          <t>SP-0300</t>
        </is>
      </c>
      <c r="B303" s="15" t="n">
        <v>46193</v>
      </c>
      <c r="C303" s="14" t="inlineStr">
        <is>
          <t>Tháng 06/2026</t>
        </is>
      </c>
      <c r="D303" s="14" t="inlineStr">
        <is>
          <t>Quý 2</t>
        </is>
      </c>
      <c r="E303" s="16" t="inlineStr">
        <is>
          <t>Ban Kinh tế - Tài chính</t>
        </is>
      </c>
      <c r="F303" s="16" t="inlineStr">
        <is>
          <t>Nhóm Lan Hương</t>
        </is>
      </c>
      <c r="G303" s="16" t="inlineStr">
        <is>
          <t>YouTube</t>
        </is>
      </c>
      <c r="H303" s="16" t="inlineStr">
        <is>
          <t>YouTube Long-form (10-25p)</t>
        </is>
      </c>
      <c r="I303" s="16" t="inlineStr">
        <is>
          <t>Kinh tế - Thị trường</t>
        </is>
      </c>
      <c r="J303" s="16" t="inlineStr">
        <is>
          <t>Hỗ trợ sâu (40%)</t>
        </is>
      </c>
      <c r="K303" s="17" t="n">
        <v>834481</v>
      </c>
      <c r="L303" s="17" t="n">
        <v>77773</v>
      </c>
      <c r="M303" s="18">
        <f>L303/K303</f>
        <v/>
      </c>
      <c r="N303" s="17" t="n">
        <v>489</v>
      </c>
      <c r="O303" s="18" t="n">
        <v>0.4942</v>
      </c>
      <c r="P303" s="17" t="n">
        <v>3450000</v>
      </c>
      <c r="Q303" s="17" t="n">
        <v>15300000</v>
      </c>
      <c r="R303" s="17">
        <f>Q303-P303</f>
        <v/>
      </c>
      <c r="S303" s="18">
        <f>(Q303-P303)/P303</f>
        <v/>
      </c>
      <c r="T303" s="14">
        <f>IF(AND(K303&gt;=50000, S303&gt;=0.35), "Vượt KPI", IF(AND(K303&gt;=20000, S303&gt;=0), "Đạt KPI", "Chưa đạt KPI"))</f>
        <v/>
      </c>
    </row>
    <row r="304">
      <c r="A304" s="10" t="inlineStr">
        <is>
          <t>SP-0301</t>
        </is>
      </c>
      <c r="B304" s="11" t="n">
        <v>46128</v>
      </c>
      <c r="C304" s="10" t="inlineStr">
        <is>
          <t>Tháng 04/2026</t>
        </is>
      </c>
      <c r="D304" s="10" t="inlineStr">
        <is>
          <t>Quý 2</t>
        </is>
      </c>
      <c r="E304" s="5" t="inlineStr">
        <is>
          <t>Ban Thời sự - Chính trị</t>
        </is>
      </c>
      <c r="F304" s="5" t="inlineStr">
        <is>
          <t>Nhóm Việt Anh</t>
        </is>
      </c>
      <c r="G304" s="5" t="inlineStr">
        <is>
          <t>YouTube</t>
        </is>
      </c>
      <c r="H304" s="5" t="inlineStr">
        <is>
          <t>YouTube Long-form (10-25p)</t>
        </is>
      </c>
      <c r="I304" s="5" t="inlineStr">
        <is>
          <t>Phóng sự Điều tra</t>
        </is>
      </c>
      <c r="J304" s="5" t="inlineStr">
        <is>
          <t>Hỗ trợ sâu (40%)</t>
        </is>
      </c>
      <c r="K304" s="12" t="n">
        <v>50233</v>
      </c>
      <c r="L304" s="12" t="n">
        <v>2009</v>
      </c>
      <c r="M304" s="13">
        <f>L304/K304</f>
        <v/>
      </c>
      <c r="N304" s="12" t="n">
        <v>293</v>
      </c>
      <c r="O304" s="13" t="n">
        <v>0.4607</v>
      </c>
      <c r="P304" s="12" t="n">
        <v>4550000</v>
      </c>
      <c r="Q304" s="12" t="n">
        <v>11200000</v>
      </c>
      <c r="R304" s="12">
        <f>Q304-P304</f>
        <v/>
      </c>
      <c r="S304" s="13">
        <f>(Q304-P304)/P304</f>
        <v/>
      </c>
      <c r="T304" s="10">
        <f>IF(AND(K304&gt;=50000, S304&gt;=0.35), "Vượt KPI", IF(AND(K304&gt;=20000, S304&gt;=0), "Đạt KPI", "Chưa đạt KPI"))</f>
        <v/>
      </c>
    </row>
    <row r="305">
      <c r="A305" s="14" t="inlineStr">
        <is>
          <t>SP-0302</t>
        </is>
      </c>
      <c r="B305" s="15" t="n">
        <v>46077</v>
      </c>
      <c r="C305" s="14" t="inlineStr">
        <is>
          <t>Tháng 02/2026</t>
        </is>
      </c>
      <c r="D305" s="14" t="inlineStr">
        <is>
          <t>Quý 1</t>
        </is>
      </c>
      <c r="E305" s="16" t="inlineStr">
        <is>
          <t>Ban Phóng sự - Điều tra</t>
        </is>
      </c>
      <c r="F305" s="16" t="inlineStr">
        <is>
          <t>Nhóm Trọng Nghĩa</t>
        </is>
      </c>
      <c r="G305" s="16" t="inlineStr">
        <is>
          <t>Facebook Page</t>
        </is>
      </c>
      <c r="H305" s="16" t="inlineStr">
        <is>
          <t>Facebook Reels</t>
        </is>
      </c>
      <c r="I305" s="16" t="inlineStr">
        <is>
          <t>Đời sống - Xã hội</t>
        </is>
      </c>
      <c r="J305" s="16" t="inlineStr">
        <is>
          <t>Cơ bản (15%)</t>
        </is>
      </c>
      <c r="K305" s="17" t="n">
        <v>312355</v>
      </c>
      <c r="L305" s="17" t="n">
        <v>14836</v>
      </c>
      <c r="M305" s="18">
        <f>L305/K305</f>
        <v/>
      </c>
      <c r="N305" s="17" t="n">
        <v>74</v>
      </c>
      <c r="O305" s="18" t="n">
        <v>0.3947</v>
      </c>
      <c r="P305" s="17" t="n">
        <v>1300000</v>
      </c>
      <c r="Q305" s="17" t="n">
        <v>2600000</v>
      </c>
      <c r="R305" s="17">
        <f>Q305-P305</f>
        <v/>
      </c>
      <c r="S305" s="18">
        <f>(Q305-P305)/P305</f>
        <v/>
      </c>
      <c r="T305" s="14">
        <f>IF(AND(K305&gt;=50000, S305&gt;=0.35), "Vượt KPI", IF(AND(K305&gt;=20000, S305&gt;=0), "Đạt KPI", "Chưa đạt KPI"))</f>
        <v/>
      </c>
    </row>
    <row r="306">
      <c r="A306" s="10" t="inlineStr">
        <is>
          <t>SP-0303</t>
        </is>
      </c>
      <c r="B306" s="11" t="n">
        <v>46119</v>
      </c>
      <c r="C306" s="10" t="inlineStr">
        <is>
          <t>Tháng 04/2026</t>
        </is>
      </c>
      <c r="D306" s="10" t="inlineStr">
        <is>
          <t>Quý 2</t>
        </is>
      </c>
      <c r="E306" s="5" t="inlineStr">
        <is>
          <t>Ban Thời sự - Chính trị</t>
        </is>
      </c>
      <c r="F306" s="5" t="inlineStr">
        <is>
          <t>Nhóm Quang Huy</t>
        </is>
      </c>
      <c r="G306" s="5" t="inlineStr">
        <is>
          <t>TikTok</t>
        </is>
      </c>
      <c r="H306" s="5" t="inlineStr">
        <is>
          <t>TikTok Reel (1-3p)</t>
        </is>
      </c>
      <c r="I306" s="5" t="inlineStr">
        <is>
          <t>Giáo dục &amp; Tuyển sinh</t>
        </is>
      </c>
      <c r="J306" s="5" t="inlineStr">
        <is>
          <t>Hỗ trợ sâu (40%)</t>
        </is>
      </c>
      <c r="K306" s="12" t="n">
        <v>429247</v>
      </c>
      <c r="L306" s="12" t="n">
        <v>48719</v>
      </c>
      <c r="M306" s="13">
        <f>L306/K306</f>
        <v/>
      </c>
      <c r="N306" s="12" t="n">
        <v>78</v>
      </c>
      <c r="O306" s="13" t="n">
        <v>0.773</v>
      </c>
      <c r="P306" s="12" t="n">
        <v>1750000</v>
      </c>
      <c r="Q306" s="12" t="n">
        <v>4300000</v>
      </c>
      <c r="R306" s="12">
        <f>Q306-P306</f>
        <v/>
      </c>
      <c r="S306" s="13">
        <f>(Q306-P306)/P306</f>
        <v/>
      </c>
      <c r="T306" s="10">
        <f>IF(AND(K306&gt;=50000, S306&gt;=0.35), "Vượt KPI", IF(AND(K306&gt;=20000, S306&gt;=0), "Đạt KPI", "Chưa đạt KPI"))</f>
        <v/>
      </c>
    </row>
    <row r="307">
      <c r="A307" s="14" t="inlineStr">
        <is>
          <t>SP-0304</t>
        </is>
      </c>
      <c r="B307" s="15" t="n">
        <v>46118</v>
      </c>
      <c r="C307" s="14" t="inlineStr">
        <is>
          <t>Tháng 04/2026</t>
        </is>
      </c>
      <c r="D307" s="14" t="inlineStr">
        <is>
          <t>Quý 2</t>
        </is>
      </c>
      <c r="E307" s="16" t="inlineStr">
        <is>
          <t>Ban Đời sống - Giới trẻ</t>
        </is>
      </c>
      <c r="F307" s="16" t="inlineStr">
        <is>
          <t>Nhóm Duy Khánh</t>
        </is>
      </c>
      <c r="G307" s="16" t="inlineStr">
        <is>
          <t>Báo Điện tử (Web)</t>
        </is>
      </c>
      <c r="H307" s="16" t="inlineStr">
        <is>
          <t>Infographic / Mega Story</t>
        </is>
      </c>
      <c r="I307" s="16" t="inlineStr">
        <is>
          <t>Phóng sự Điều tra</t>
        </is>
      </c>
      <c r="J307" s="16" t="inlineStr">
        <is>
          <t>Toàn trình (70%)</t>
        </is>
      </c>
      <c r="K307" s="17" t="n">
        <v>251029</v>
      </c>
      <c r="L307" s="17" t="n">
        <v>22693</v>
      </c>
      <c r="M307" s="18">
        <f>L307/K307</f>
        <v/>
      </c>
      <c r="N307" s="17" t="n">
        <v>257</v>
      </c>
      <c r="O307" s="18" t="n">
        <v>0.4388</v>
      </c>
      <c r="P307" s="17" t="n">
        <v>5750000</v>
      </c>
      <c r="Q307" s="17" t="n">
        <v>21300000</v>
      </c>
      <c r="R307" s="17">
        <f>Q307-P307</f>
        <v/>
      </c>
      <c r="S307" s="18">
        <f>(Q307-P307)/P307</f>
        <v/>
      </c>
      <c r="T307" s="14">
        <f>IF(AND(K307&gt;=50000, S307&gt;=0.35), "Vượt KPI", IF(AND(K307&gt;=20000, S307&gt;=0), "Đạt KPI", "Chưa đạt KPI"))</f>
        <v/>
      </c>
    </row>
    <row r="308">
      <c r="A308" s="10" t="inlineStr">
        <is>
          <t>SP-0305</t>
        </is>
      </c>
      <c r="B308" s="11" t="n">
        <v>46129</v>
      </c>
      <c r="C308" s="10" t="inlineStr">
        <is>
          <t>Tháng 04/2026</t>
        </is>
      </c>
      <c r="D308" s="10" t="inlineStr">
        <is>
          <t>Quý 2</t>
        </is>
      </c>
      <c r="E308" s="5" t="inlineStr">
        <is>
          <t>Ban Đời sống - Giới trẻ</t>
        </is>
      </c>
      <c r="F308" s="5" t="inlineStr">
        <is>
          <t>Nhóm Bảo Ngọc</t>
        </is>
      </c>
      <c r="G308" s="5" t="inlineStr">
        <is>
          <t>Podcast / Audio</t>
        </is>
      </c>
      <c r="H308" s="5" t="inlineStr">
        <is>
          <t>Điểm tin Audio AI (5p)</t>
        </is>
      </c>
      <c r="I308" s="5" t="inlineStr">
        <is>
          <t>Công nghệ &amp; AI</t>
        </is>
      </c>
      <c r="J308" s="5" t="inlineStr">
        <is>
          <t>Hỗ trợ sâu (40%)</t>
        </is>
      </c>
      <c r="K308" s="12" t="n">
        <v>31408</v>
      </c>
      <c r="L308" s="12" t="n">
        <v>1683</v>
      </c>
      <c r="M308" s="13">
        <f>L308/K308</f>
        <v/>
      </c>
      <c r="N308" s="12" t="n">
        <v>899</v>
      </c>
      <c r="O308" s="13" t="n">
        <v>0.3754</v>
      </c>
      <c r="P308" s="12" t="n">
        <v>1050000</v>
      </c>
      <c r="Q308" s="12" t="n">
        <v>2500000</v>
      </c>
      <c r="R308" s="12">
        <f>Q308-P308</f>
        <v/>
      </c>
      <c r="S308" s="13">
        <f>(Q308-P308)/P308</f>
        <v/>
      </c>
      <c r="T308" s="10">
        <f>IF(AND(K308&gt;=50000, S308&gt;=0.35), "Vượt KPI", IF(AND(K308&gt;=20000, S308&gt;=0), "Đạt KPI", "Chưa đạt KPI"))</f>
        <v/>
      </c>
    </row>
    <row r="309">
      <c r="A309" s="14" t="inlineStr">
        <is>
          <t>SP-0306</t>
        </is>
      </c>
      <c r="B309" s="15" t="n">
        <v>46159</v>
      </c>
      <c r="C309" s="14" t="inlineStr">
        <is>
          <t>Tháng 05/2026</t>
        </is>
      </c>
      <c r="D309" s="14" t="inlineStr">
        <is>
          <t>Quý 2</t>
        </is>
      </c>
      <c r="E309" s="16" t="inlineStr">
        <is>
          <t>Ban Phóng sự - Điều tra</t>
        </is>
      </c>
      <c r="F309" s="16" t="inlineStr">
        <is>
          <t>Nhóm Hải Đăng</t>
        </is>
      </c>
      <c r="G309" s="16" t="inlineStr">
        <is>
          <t>TikTok</t>
        </is>
      </c>
      <c r="H309" s="16" t="inlineStr">
        <is>
          <t>TikTok Reel (1-3p)</t>
        </is>
      </c>
      <c r="I309" s="16" t="inlineStr">
        <is>
          <t>Chính sách &amp; Pháp luật</t>
        </is>
      </c>
      <c r="J309" s="16" t="inlineStr">
        <is>
          <t>Toàn trình (70%)</t>
        </is>
      </c>
      <c r="K309" s="17" t="n">
        <v>373378</v>
      </c>
      <c r="L309" s="17" t="n">
        <v>17287</v>
      </c>
      <c r="M309" s="18">
        <f>L309/K309</f>
        <v/>
      </c>
      <c r="N309" s="17" t="n">
        <v>46</v>
      </c>
      <c r="O309" s="18" t="n">
        <v>0.6224</v>
      </c>
      <c r="P309" s="17" t="n">
        <v>2050000</v>
      </c>
      <c r="Q309" s="17" t="n">
        <v>3900000</v>
      </c>
      <c r="R309" s="17">
        <f>Q309-P309</f>
        <v/>
      </c>
      <c r="S309" s="18">
        <f>(Q309-P309)/P309</f>
        <v/>
      </c>
      <c r="T309" s="14">
        <f>IF(AND(K309&gt;=50000, S309&gt;=0.35), "Vượt KPI", IF(AND(K309&gt;=20000, S309&gt;=0), "Đạt KPI", "Chưa đạt KPI"))</f>
        <v/>
      </c>
    </row>
    <row r="310">
      <c r="A310" s="10" t="inlineStr">
        <is>
          <t>SP-0307</t>
        </is>
      </c>
      <c r="B310" s="11" t="n">
        <v>46165</v>
      </c>
      <c r="C310" s="10" t="inlineStr">
        <is>
          <t>Tháng 05/2026</t>
        </is>
      </c>
      <c r="D310" s="10" t="inlineStr">
        <is>
          <t>Quý 2</t>
        </is>
      </c>
      <c r="E310" s="5" t="inlineStr">
        <is>
          <t>Ban Kinh tế - Tài chính</t>
        </is>
      </c>
      <c r="F310" s="5" t="inlineStr">
        <is>
          <t>Nhóm Minh Tuấn</t>
        </is>
      </c>
      <c r="G310" s="5" t="inlineStr">
        <is>
          <t>Podcast / Audio</t>
        </is>
      </c>
      <c r="H310" s="5" t="inlineStr">
        <is>
          <t>Điểm tin Audio AI (5p)</t>
        </is>
      </c>
      <c r="I310" s="5" t="inlineStr">
        <is>
          <t>Tài chính Cá nhân &amp; Đầu tư</t>
        </is>
      </c>
      <c r="J310" s="5" t="inlineStr">
        <is>
          <t>Toàn trình (70%)</t>
        </is>
      </c>
      <c r="K310" s="12" t="n">
        <v>69782</v>
      </c>
      <c r="L310" s="12" t="n">
        <v>4884</v>
      </c>
      <c r="M310" s="13">
        <f>L310/K310</f>
        <v/>
      </c>
      <c r="N310" s="12" t="n">
        <v>314</v>
      </c>
      <c r="O310" s="13" t="n">
        <v>0.3946</v>
      </c>
      <c r="P310" s="12" t="n">
        <v>2100000</v>
      </c>
      <c r="Q310" s="12" t="n">
        <v>3200000</v>
      </c>
      <c r="R310" s="12">
        <f>Q310-P310</f>
        <v/>
      </c>
      <c r="S310" s="13">
        <f>(Q310-P310)/P310</f>
        <v/>
      </c>
      <c r="T310" s="10">
        <f>IF(AND(K310&gt;=50000, S310&gt;=0.35), "Vượt KPI", IF(AND(K310&gt;=20000, S310&gt;=0), "Đạt KPI", "Chưa đạt KPI"))</f>
        <v/>
      </c>
    </row>
    <row r="311">
      <c r="A311" s="14" t="inlineStr">
        <is>
          <t>SP-0308</t>
        </is>
      </c>
      <c r="B311" s="15" t="n">
        <v>46118</v>
      </c>
      <c r="C311" s="14" t="inlineStr">
        <is>
          <t>Tháng 04/2026</t>
        </is>
      </c>
      <c r="D311" s="14" t="inlineStr">
        <is>
          <t>Quý 2</t>
        </is>
      </c>
      <c r="E311" s="16" t="inlineStr">
        <is>
          <t>Ban Video &amp; Truyền hình số</t>
        </is>
      </c>
      <c r="F311" s="16" t="inlineStr">
        <is>
          <t>Nhóm Quốc Bảo</t>
        </is>
      </c>
      <c r="G311" s="16" t="inlineStr">
        <is>
          <t>TikTok</t>
        </is>
      </c>
      <c r="H311" s="16" t="inlineStr">
        <is>
          <t>Short Video (&lt;60s)</t>
        </is>
      </c>
      <c r="I311" s="16" t="inlineStr">
        <is>
          <t>Công nghệ &amp; AI</t>
        </is>
      </c>
      <c r="J311" s="16" t="inlineStr">
        <is>
          <t>Hỗ trợ sâu (40%)</t>
        </is>
      </c>
      <c r="K311" s="17" t="n">
        <v>259422</v>
      </c>
      <c r="L311" s="17" t="n">
        <v>20572</v>
      </c>
      <c r="M311" s="18">
        <f>L311/K311</f>
        <v/>
      </c>
      <c r="N311" s="17" t="n">
        <v>20</v>
      </c>
      <c r="O311" s="18" t="n">
        <v>0.4333</v>
      </c>
      <c r="P311" s="17" t="n">
        <v>1200000</v>
      </c>
      <c r="Q311" s="17" t="n">
        <v>1050000</v>
      </c>
      <c r="R311" s="17">
        <f>Q311-P311</f>
        <v/>
      </c>
      <c r="S311" s="18">
        <f>(Q311-P311)/P311</f>
        <v/>
      </c>
      <c r="T311" s="14">
        <f>IF(AND(K311&gt;=50000, S311&gt;=0.35), "Vượt KPI", IF(AND(K311&gt;=20000, S311&gt;=0), "Đạt KPI", "Chưa đạt KPI"))</f>
        <v/>
      </c>
    </row>
    <row r="312">
      <c r="A312" s="10" t="inlineStr">
        <is>
          <t>SP-0309</t>
        </is>
      </c>
      <c r="B312" s="11" t="n">
        <v>46074</v>
      </c>
      <c r="C312" s="10" t="inlineStr">
        <is>
          <t>Tháng 02/2026</t>
        </is>
      </c>
      <c r="D312" s="10" t="inlineStr">
        <is>
          <t>Quý 1</t>
        </is>
      </c>
      <c r="E312" s="5" t="inlineStr">
        <is>
          <t>Ban Video &amp; Truyền hình số</t>
        </is>
      </c>
      <c r="F312" s="5" t="inlineStr">
        <is>
          <t>Nhóm Hoàng Hải</t>
        </is>
      </c>
      <c r="G312" s="5" t="inlineStr">
        <is>
          <t>TikTok</t>
        </is>
      </c>
      <c r="H312" s="5" t="inlineStr">
        <is>
          <t>Short Video (&lt;60s)</t>
        </is>
      </c>
      <c r="I312" s="5" t="inlineStr">
        <is>
          <t>Công nghệ &amp; AI</t>
        </is>
      </c>
      <c r="J312" s="5" t="inlineStr">
        <is>
          <t>Thủ công (0%)</t>
        </is>
      </c>
      <c r="K312" s="12" t="n">
        <v>565693</v>
      </c>
      <c r="L312" s="12" t="n">
        <v>60755</v>
      </c>
      <c r="M312" s="13">
        <f>L312/K312</f>
        <v/>
      </c>
      <c r="N312" s="12" t="n">
        <v>54</v>
      </c>
      <c r="O312" s="13" t="n">
        <v>0.627</v>
      </c>
      <c r="P312" s="12" t="n">
        <v>1650000</v>
      </c>
      <c r="Q312" s="12" t="n">
        <v>4200000</v>
      </c>
      <c r="R312" s="12">
        <f>Q312-P312</f>
        <v/>
      </c>
      <c r="S312" s="13">
        <f>(Q312-P312)/P312</f>
        <v/>
      </c>
      <c r="T312" s="10">
        <f>IF(AND(K312&gt;=50000, S312&gt;=0.35), "Vượt KPI", IF(AND(K312&gt;=20000, S312&gt;=0), "Đạt KPI", "Chưa đạt KPI"))</f>
        <v/>
      </c>
    </row>
    <row r="313">
      <c r="A313" s="14" t="inlineStr">
        <is>
          <t>SP-0310</t>
        </is>
      </c>
      <c r="B313" s="15" t="n">
        <v>46106</v>
      </c>
      <c r="C313" s="14" t="inlineStr">
        <is>
          <t>Tháng 03/2026</t>
        </is>
      </c>
      <c r="D313" s="14" t="inlineStr">
        <is>
          <t>Quý 1</t>
        </is>
      </c>
      <c r="E313" s="16" t="inlineStr">
        <is>
          <t>Ban Kinh tế - Tài chính</t>
        </is>
      </c>
      <c r="F313" s="16" t="inlineStr">
        <is>
          <t>Nhóm Đức Thịnh</t>
        </is>
      </c>
      <c r="G313" s="16" t="inlineStr">
        <is>
          <t>YouTube</t>
        </is>
      </c>
      <c r="H313" s="16" t="inlineStr">
        <is>
          <t>YouTube Documentary (&gt;25p)</t>
        </is>
      </c>
      <c r="I313" s="16" t="inlineStr">
        <is>
          <t>Tài chính Cá nhân &amp; Đầu tư</t>
        </is>
      </c>
      <c r="J313" s="16" t="inlineStr">
        <is>
          <t>Cơ bản (15%)</t>
        </is>
      </c>
      <c r="K313" s="17" t="n">
        <v>482440</v>
      </c>
      <c r="L313" s="17" t="n">
        <v>38788</v>
      </c>
      <c r="M313" s="18">
        <f>L313/K313</f>
        <v/>
      </c>
      <c r="N313" s="17" t="n">
        <v>539</v>
      </c>
      <c r="O313" s="18" t="n">
        <v>0.457</v>
      </c>
      <c r="P313" s="17" t="n">
        <v>17800000</v>
      </c>
      <c r="Q313" s="17" t="n">
        <v>55900000</v>
      </c>
      <c r="R313" s="17">
        <f>Q313-P313</f>
        <v/>
      </c>
      <c r="S313" s="18">
        <f>(Q313-P313)/P313</f>
        <v/>
      </c>
      <c r="T313" s="14">
        <f>IF(AND(K313&gt;=50000, S313&gt;=0.35), "Vượt KPI", IF(AND(K313&gt;=20000, S313&gt;=0), "Đạt KPI", "Chưa đạt KPI"))</f>
        <v/>
      </c>
    </row>
    <row r="314">
      <c r="A314" s="10" t="inlineStr">
        <is>
          <t>SP-0311</t>
        </is>
      </c>
      <c r="B314" s="11" t="n">
        <v>46195</v>
      </c>
      <c r="C314" s="10" t="inlineStr">
        <is>
          <t>Tháng 06/2026</t>
        </is>
      </c>
      <c r="D314" s="10" t="inlineStr">
        <is>
          <t>Quý 2</t>
        </is>
      </c>
      <c r="E314" s="5" t="inlineStr">
        <is>
          <t>Ban Đời sống - Giới trẻ</t>
        </is>
      </c>
      <c r="F314" s="5" t="inlineStr">
        <is>
          <t>Nhóm Duy Khánh</t>
        </is>
      </c>
      <c r="G314" s="5" t="inlineStr">
        <is>
          <t>TikTok</t>
        </is>
      </c>
      <c r="H314" s="5" t="inlineStr">
        <is>
          <t>Short Video (&lt;60s)</t>
        </is>
      </c>
      <c r="I314" s="5" t="inlineStr">
        <is>
          <t>Tài chính Cá nhân &amp; Đầu tư</t>
        </is>
      </c>
      <c r="J314" s="5" t="inlineStr">
        <is>
          <t>Thủ công (0%)</t>
        </is>
      </c>
      <c r="K314" s="12" t="n">
        <v>781160</v>
      </c>
      <c r="L314" s="12" t="n">
        <v>71632</v>
      </c>
      <c r="M314" s="13">
        <f>L314/K314</f>
        <v/>
      </c>
      <c r="N314" s="12" t="n">
        <v>70</v>
      </c>
      <c r="O314" s="13" t="n">
        <v>0.487</v>
      </c>
      <c r="P314" s="12" t="n">
        <v>3350000</v>
      </c>
      <c r="Q314" s="12" t="n">
        <v>5450000</v>
      </c>
      <c r="R314" s="12">
        <f>Q314-P314</f>
        <v/>
      </c>
      <c r="S314" s="13">
        <f>(Q314-P314)/P314</f>
        <v/>
      </c>
      <c r="T314" s="10">
        <f>IF(AND(K314&gt;=50000, S314&gt;=0.35), "Vượt KPI", IF(AND(K314&gt;=20000, S314&gt;=0), "Đạt KPI", "Chưa đạt KPI"))</f>
        <v/>
      </c>
    </row>
    <row r="315">
      <c r="A315" s="14" t="inlineStr">
        <is>
          <t>SP-0312</t>
        </is>
      </c>
      <c r="B315" s="15" t="n">
        <v>46144</v>
      </c>
      <c r="C315" s="14" t="inlineStr">
        <is>
          <t>Tháng 05/2026</t>
        </is>
      </c>
      <c r="D315" s="14" t="inlineStr">
        <is>
          <t>Quý 2</t>
        </is>
      </c>
      <c r="E315" s="16" t="inlineStr">
        <is>
          <t>Ban Kinh tế - Tài chính</t>
        </is>
      </c>
      <c r="F315" s="16" t="inlineStr">
        <is>
          <t>Nhóm Minh Tuấn</t>
        </is>
      </c>
      <c r="G315" s="16" t="inlineStr">
        <is>
          <t>Facebook Page</t>
        </is>
      </c>
      <c r="H315" s="16" t="inlineStr">
        <is>
          <t>Video Bản tin (3-5p)</t>
        </is>
      </c>
      <c r="I315" s="16" t="inlineStr">
        <is>
          <t>Kinh tế - Thị trường</t>
        </is>
      </c>
      <c r="J315" s="16" t="inlineStr">
        <is>
          <t>Hỗ trợ sâu (40%)</t>
        </is>
      </c>
      <c r="K315" s="17" t="n">
        <v>41288</v>
      </c>
      <c r="L315" s="17" t="n">
        <v>3525</v>
      </c>
      <c r="M315" s="18">
        <f>L315/K315</f>
        <v/>
      </c>
      <c r="N315" s="17" t="n">
        <v>187</v>
      </c>
      <c r="O315" s="18" t="n">
        <v>0.4117</v>
      </c>
      <c r="P315" s="17" t="n">
        <v>2600000</v>
      </c>
      <c r="Q315" s="17" t="n">
        <v>10400000</v>
      </c>
      <c r="R315" s="17">
        <f>Q315-P315</f>
        <v/>
      </c>
      <c r="S315" s="18">
        <f>(Q315-P315)/P315</f>
        <v/>
      </c>
      <c r="T315" s="14">
        <f>IF(AND(K315&gt;=50000, S315&gt;=0.35), "Vượt KPI", IF(AND(K315&gt;=20000, S315&gt;=0), "Đạt KPI", "Chưa đạt KPI"))</f>
        <v/>
      </c>
    </row>
    <row r="316">
      <c r="A316" s="10" t="inlineStr">
        <is>
          <t>SP-0313</t>
        </is>
      </c>
      <c r="B316" s="11" t="n">
        <v>46182</v>
      </c>
      <c r="C316" s="10" t="inlineStr">
        <is>
          <t>Tháng 06/2026</t>
        </is>
      </c>
      <c r="D316" s="10" t="inlineStr">
        <is>
          <t>Quý 2</t>
        </is>
      </c>
      <c r="E316" s="5" t="inlineStr">
        <is>
          <t>Ban Công nghệ &amp; AI</t>
        </is>
      </c>
      <c r="F316" s="5" t="inlineStr">
        <is>
          <t>Nhóm Ngọc Ánh</t>
        </is>
      </c>
      <c r="G316" s="5" t="inlineStr">
        <is>
          <t>YouTube</t>
        </is>
      </c>
      <c r="H316" s="5" t="inlineStr">
        <is>
          <t>YouTube Long-form (10-25p)</t>
        </is>
      </c>
      <c r="I316" s="5" t="inlineStr">
        <is>
          <t>Kinh tế - Thị trường</t>
        </is>
      </c>
      <c r="J316" s="5" t="inlineStr">
        <is>
          <t>Cơ bản (15%)</t>
        </is>
      </c>
      <c r="K316" s="12" t="n">
        <v>131414</v>
      </c>
      <c r="L316" s="12" t="n">
        <v>12352</v>
      </c>
      <c r="M316" s="13">
        <f>L316/K316</f>
        <v/>
      </c>
      <c r="N316" s="12" t="n">
        <v>232</v>
      </c>
      <c r="O316" s="13" t="n">
        <v>0.556</v>
      </c>
      <c r="P316" s="12" t="n">
        <v>5350000</v>
      </c>
      <c r="Q316" s="12" t="n">
        <v>4350000</v>
      </c>
      <c r="R316" s="12">
        <f>Q316-P316</f>
        <v/>
      </c>
      <c r="S316" s="13">
        <f>(Q316-P316)/P316</f>
        <v/>
      </c>
      <c r="T316" s="10">
        <f>IF(AND(K316&gt;=50000, S316&gt;=0.35), "Vượt KPI", IF(AND(K316&gt;=20000, S316&gt;=0), "Đạt KPI", "Chưa đạt KPI"))</f>
        <v/>
      </c>
    </row>
    <row r="317">
      <c r="A317" s="14" t="inlineStr">
        <is>
          <t>SP-0314</t>
        </is>
      </c>
      <c r="B317" s="15" t="n">
        <v>46080</v>
      </c>
      <c r="C317" s="14" t="inlineStr">
        <is>
          <t>Tháng 02/2026</t>
        </is>
      </c>
      <c r="D317" s="14" t="inlineStr">
        <is>
          <t>Quý 1</t>
        </is>
      </c>
      <c r="E317" s="16" t="inlineStr">
        <is>
          <t>Ban Thời sự - Chính trị</t>
        </is>
      </c>
      <c r="F317" s="16" t="inlineStr">
        <is>
          <t>Nhóm Việt Anh</t>
        </is>
      </c>
      <c r="G317" s="16" t="inlineStr">
        <is>
          <t>Podcast / Audio</t>
        </is>
      </c>
      <c r="H317" s="16" t="inlineStr">
        <is>
          <t>Podcast Chuyên sâu (20p)</t>
        </is>
      </c>
      <c r="I317" s="16" t="inlineStr">
        <is>
          <t>Công nghệ &amp; AI</t>
        </is>
      </c>
      <c r="J317" s="16" t="inlineStr">
        <is>
          <t>Cơ bản (15%)</t>
        </is>
      </c>
      <c r="K317" s="17" t="n">
        <v>35060</v>
      </c>
      <c r="L317" s="17" t="n">
        <v>2345</v>
      </c>
      <c r="M317" s="18">
        <f>L317/K317</f>
        <v/>
      </c>
      <c r="N317" s="17" t="n">
        <v>867</v>
      </c>
      <c r="O317" s="18" t="n">
        <v>0.5063</v>
      </c>
      <c r="P317" s="17" t="n">
        <v>1750000</v>
      </c>
      <c r="Q317" s="17" t="n">
        <v>2400000</v>
      </c>
      <c r="R317" s="17">
        <f>Q317-P317</f>
        <v/>
      </c>
      <c r="S317" s="18">
        <f>(Q317-P317)/P317</f>
        <v/>
      </c>
      <c r="T317" s="14">
        <f>IF(AND(K317&gt;=50000, S317&gt;=0.35), "Vượt KPI", IF(AND(K317&gt;=20000, S317&gt;=0), "Đạt KPI", "Chưa đạt KPI"))</f>
        <v/>
      </c>
    </row>
    <row r="318">
      <c r="A318" s="10" t="inlineStr">
        <is>
          <t>SP-0315</t>
        </is>
      </c>
      <c r="B318" s="11" t="n">
        <v>46027</v>
      </c>
      <c r="C318" s="10" t="inlineStr">
        <is>
          <t>Tháng 01/2026</t>
        </is>
      </c>
      <c r="D318" s="10" t="inlineStr">
        <is>
          <t>Quý 1</t>
        </is>
      </c>
      <c r="E318" s="5" t="inlineStr">
        <is>
          <t>Ban Thời sự - Chính trị</t>
        </is>
      </c>
      <c r="F318" s="5" t="inlineStr">
        <is>
          <t>Nhóm Việt Anh</t>
        </is>
      </c>
      <c r="G318" s="5" t="inlineStr">
        <is>
          <t>YouTube</t>
        </is>
      </c>
      <c r="H318" s="5" t="inlineStr">
        <is>
          <t>YouTube Long-form (10-25p)</t>
        </is>
      </c>
      <c r="I318" s="5" t="inlineStr">
        <is>
          <t>Công nghệ &amp; AI</t>
        </is>
      </c>
      <c r="J318" s="5" t="inlineStr">
        <is>
          <t>Toàn trình (70%)</t>
        </is>
      </c>
      <c r="K318" s="12" t="n">
        <v>526314</v>
      </c>
      <c r="L318" s="12" t="n">
        <v>43210</v>
      </c>
      <c r="M318" s="13">
        <f>L318/K318</f>
        <v/>
      </c>
      <c r="N318" s="12" t="n">
        <v>304</v>
      </c>
      <c r="O318" s="13" t="n">
        <v>0.5306999999999999</v>
      </c>
      <c r="P318" s="12" t="n">
        <v>4400000</v>
      </c>
      <c r="Q318" s="12" t="n">
        <v>16150000</v>
      </c>
      <c r="R318" s="12">
        <f>Q318-P318</f>
        <v/>
      </c>
      <c r="S318" s="13">
        <f>(Q318-P318)/P318</f>
        <v/>
      </c>
      <c r="T318" s="10">
        <f>IF(AND(K318&gt;=50000, S318&gt;=0.35), "Vượt KPI", IF(AND(K318&gt;=20000, S318&gt;=0), "Đạt KPI", "Chưa đạt KPI"))</f>
        <v/>
      </c>
    </row>
    <row r="319">
      <c r="A319" s="14" t="inlineStr">
        <is>
          <t>SP-0316</t>
        </is>
      </c>
      <c r="B319" s="15" t="n">
        <v>46033</v>
      </c>
      <c r="C319" s="14" t="inlineStr">
        <is>
          <t>Tháng 01/2026</t>
        </is>
      </c>
      <c r="D319" s="14" t="inlineStr">
        <is>
          <t>Quý 1</t>
        </is>
      </c>
      <c r="E319" s="16" t="inlineStr">
        <is>
          <t>Ban Đời sống - Giới trẻ</t>
        </is>
      </c>
      <c r="F319" s="16" t="inlineStr">
        <is>
          <t>Nhóm Duy Khánh</t>
        </is>
      </c>
      <c r="G319" s="16" t="inlineStr">
        <is>
          <t>Facebook Page</t>
        </is>
      </c>
      <c r="H319" s="16" t="inlineStr">
        <is>
          <t>Video Bản tin (3-5p)</t>
        </is>
      </c>
      <c r="I319" s="16" t="inlineStr">
        <is>
          <t>Đời sống - Xã hội</t>
        </is>
      </c>
      <c r="J319" s="16" t="inlineStr">
        <is>
          <t>Toàn trình (70%)</t>
        </is>
      </c>
      <c r="K319" s="17" t="n">
        <v>370296</v>
      </c>
      <c r="L319" s="17" t="n">
        <v>24920</v>
      </c>
      <c r="M319" s="18">
        <f>L319/K319</f>
        <v/>
      </c>
      <c r="N319" s="17" t="n">
        <v>60</v>
      </c>
      <c r="O319" s="18" t="n">
        <v>0.7368</v>
      </c>
      <c r="P319" s="17" t="n">
        <v>1700000</v>
      </c>
      <c r="Q319" s="17" t="n">
        <v>3450000</v>
      </c>
      <c r="R319" s="17">
        <f>Q319-P319</f>
        <v/>
      </c>
      <c r="S319" s="18">
        <f>(Q319-P319)/P319</f>
        <v/>
      </c>
      <c r="T319" s="14">
        <f>IF(AND(K319&gt;=50000, S319&gt;=0.35), "Vượt KPI", IF(AND(K319&gt;=20000, S319&gt;=0), "Đạt KPI", "Chưa đạt KPI"))</f>
        <v/>
      </c>
    </row>
    <row r="320">
      <c r="A320" s="10" t="inlineStr">
        <is>
          <t>SP-0317</t>
        </is>
      </c>
      <c r="B320" s="11" t="n">
        <v>46031</v>
      </c>
      <c r="C320" s="10" t="inlineStr">
        <is>
          <t>Tháng 01/2026</t>
        </is>
      </c>
      <c r="D320" s="10" t="inlineStr">
        <is>
          <t>Quý 1</t>
        </is>
      </c>
      <c r="E320" s="5" t="inlineStr">
        <is>
          <t>Ban Đời sống - Giới trẻ</t>
        </is>
      </c>
      <c r="F320" s="5" t="inlineStr">
        <is>
          <t>Nhóm Bảo Ngọc</t>
        </is>
      </c>
      <c r="G320" s="5" t="inlineStr">
        <is>
          <t>TikTok</t>
        </is>
      </c>
      <c r="H320" s="5" t="inlineStr">
        <is>
          <t>TikTok Reel (1-3p)</t>
        </is>
      </c>
      <c r="I320" s="5" t="inlineStr">
        <is>
          <t>Phóng sự Điều tra</t>
        </is>
      </c>
      <c r="J320" s="5" t="inlineStr">
        <is>
          <t>Hỗ trợ sâu (40%)</t>
        </is>
      </c>
      <c r="K320" s="12" t="n">
        <v>978469</v>
      </c>
      <c r="L320" s="12" t="n">
        <v>48532</v>
      </c>
      <c r="M320" s="13">
        <f>L320/K320</f>
        <v/>
      </c>
      <c r="N320" s="12" t="n">
        <v>78</v>
      </c>
      <c r="O320" s="13" t="n">
        <v>0.4476</v>
      </c>
      <c r="P320" s="12" t="n">
        <v>1250000</v>
      </c>
      <c r="Q320" s="12" t="n">
        <v>3400000</v>
      </c>
      <c r="R320" s="12">
        <f>Q320-P320</f>
        <v/>
      </c>
      <c r="S320" s="13">
        <f>(Q320-P320)/P320</f>
        <v/>
      </c>
      <c r="T320" s="10">
        <f>IF(AND(K320&gt;=50000, S320&gt;=0.35), "Vượt KPI", IF(AND(K320&gt;=20000, S320&gt;=0), "Đạt KPI", "Chưa đạt KPI"))</f>
        <v/>
      </c>
    </row>
    <row r="321">
      <c r="A321" s="14" t="inlineStr">
        <is>
          <t>SP-0318</t>
        </is>
      </c>
      <c r="B321" s="15" t="n">
        <v>46107</v>
      </c>
      <c r="C321" s="14" t="inlineStr">
        <is>
          <t>Tháng 03/2026</t>
        </is>
      </c>
      <c r="D321" s="14" t="inlineStr">
        <is>
          <t>Quý 1</t>
        </is>
      </c>
      <c r="E321" s="16" t="inlineStr">
        <is>
          <t>Ban Thời sự - Chính trị</t>
        </is>
      </c>
      <c r="F321" s="16" t="inlineStr">
        <is>
          <t>Nhóm Quang Huy</t>
        </is>
      </c>
      <c r="G321" s="16" t="inlineStr">
        <is>
          <t>Báo Điện tử (Web)</t>
        </is>
      </c>
      <c r="H321" s="16" t="inlineStr">
        <is>
          <t>Tin bài Đa phương tiện</t>
        </is>
      </c>
      <c r="I321" s="16" t="inlineStr">
        <is>
          <t>Công nghệ &amp; AI</t>
        </is>
      </c>
      <c r="J321" s="16" t="inlineStr">
        <is>
          <t>Toàn trình (70%)</t>
        </is>
      </c>
      <c r="K321" s="17" t="n">
        <v>320546</v>
      </c>
      <c r="L321" s="17" t="n">
        <v>16219</v>
      </c>
      <c r="M321" s="18">
        <f>L321/K321</f>
        <v/>
      </c>
      <c r="N321" s="17" t="n">
        <v>142</v>
      </c>
      <c r="O321" s="18" t="n">
        <v>0.7135</v>
      </c>
      <c r="P321" s="17" t="n">
        <v>4100000</v>
      </c>
      <c r="Q321" s="17" t="n">
        <v>8200000</v>
      </c>
      <c r="R321" s="17">
        <f>Q321-P321</f>
        <v/>
      </c>
      <c r="S321" s="18">
        <f>(Q321-P321)/P321</f>
        <v/>
      </c>
      <c r="T321" s="14">
        <f>IF(AND(K321&gt;=50000, S321&gt;=0.35), "Vượt KPI", IF(AND(K321&gt;=20000, S321&gt;=0), "Đạt KPI", "Chưa đạt KPI"))</f>
        <v/>
      </c>
    </row>
    <row r="322">
      <c r="A322" s="10" t="inlineStr">
        <is>
          <t>SP-0319</t>
        </is>
      </c>
      <c r="B322" s="11" t="n">
        <v>46087</v>
      </c>
      <c r="C322" s="10" t="inlineStr">
        <is>
          <t>Tháng 03/2026</t>
        </is>
      </c>
      <c r="D322" s="10" t="inlineStr">
        <is>
          <t>Quý 1</t>
        </is>
      </c>
      <c r="E322" s="5" t="inlineStr">
        <is>
          <t>Ban Thời sự - Chính trị</t>
        </is>
      </c>
      <c r="F322" s="5" t="inlineStr">
        <is>
          <t>Nhóm Việt Anh</t>
        </is>
      </c>
      <c r="G322" s="5" t="inlineStr">
        <is>
          <t>TikTok</t>
        </is>
      </c>
      <c r="H322" s="5" t="inlineStr">
        <is>
          <t>TikTok Reel (1-3p)</t>
        </is>
      </c>
      <c r="I322" s="5" t="inlineStr">
        <is>
          <t>Công nghệ &amp; AI</t>
        </is>
      </c>
      <c r="J322" s="5" t="inlineStr">
        <is>
          <t>Hỗ trợ sâu (40%)</t>
        </is>
      </c>
      <c r="K322" s="12" t="n">
        <v>355454</v>
      </c>
      <c r="L322" s="12" t="n">
        <v>28223</v>
      </c>
      <c r="M322" s="13">
        <f>L322/K322</f>
        <v/>
      </c>
      <c r="N322" s="12" t="n">
        <v>22</v>
      </c>
      <c r="O322" s="13" t="n">
        <v>0.5984</v>
      </c>
      <c r="P322" s="12" t="n">
        <v>1450000</v>
      </c>
      <c r="Q322" s="12" t="n">
        <v>4350000</v>
      </c>
      <c r="R322" s="12">
        <f>Q322-P322</f>
        <v/>
      </c>
      <c r="S322" s="13">
        <f>(Q322-P322)/P322</f>
        <v/>
      </c>
      <c r="T322" s="10">
        <f>IF(AND(K322&gt;=50000, S322&gt;=0.35), "Vượt KPI", IF(AND(K322&gt;=20000, S322&gt;=0), "Đạt KPI", "Chưa đạt KPI"))</f>
        <v/>
      </c>
    </row>
    <row r="323">
      <c r="A323" s="14" t="inlineStr">
        <is>
          <t>SP-0320</t>
        </is>
      </c>
      <c r="B323" s="15" t="n">
        <v>46085</v>
      </c>
      <c r="C323" s="14" t="inlineStr">
        <is>
          <t>Tháng 03/2026</t>
        </is>
      </c>
      <c r="D323" s="14" t="inlineStr">
        <is>
          <t>Quý 1</t>
        </is>
      </c>
      <c r="E323" s="16" t="inlineStr">
        <is>
          <t>Ban Công nghệ &amp; AI</t>
        </is>
      </c>
      <c r="F323" s="16" t="inlineStr">
        <is>
          <t>Nhóm Gia Hưng</t>
        </is>
      </c>
      <c r="G323" s="16" t="inlineStr">
        <is>
          <t>YouTube</t>
        </is>
      </c>
      <c r="H323" s="16" t="inlineStr">
        <is>
          <t>YouTube Shorts</t>
        </is>
      </c>
      <c r="I323" s="16" t="inlineStr">
        <is>
          <t>Giáo dục &amp; Tuyển sinh</t>
        </is>
      </c>
      <c r="J323" s="16" t="inlineStr">
        <is>
          <t>Thủ công (0%)</t>
        </is>
      </c>
      <c r="K323" s="17" t="n">
        <v>68725</v>
      </c>
      <c r="L323" s="17" t="n">
        <v>1738</v>
      </c>
      <c r="M323" s="18">
        <f>L323/K323</f>
        <v/>
      </c>
      <c r="N323" s="17" t="n">
        <v>414</v>
      </c>
      <c r="O323" s="18" t="n">
        <v>0.3416</v>
      </c>
      <c r="P323" s="17" t="n">
        <v>5300000</v>
      </c>
      <c r="Q323" s="17" t="n">
        <v>9950000</v>
      </c>
      <c r="R323" s="17">
        <f>Q323-P323</f>
        <v/>
      </c>
      <c r="S323" s="18">
        <f>(Q323-P323)/P323</f>
        <v/>
      </c>
      <c r="T323" s="14">
        <f>IF(AND(K323&gt;=50000, S323&gt;=0.35), "Vượt KPI", IF(AND(K323&gt;=20000, S323&gt;=0), "Đạt KPI", "Chưa đạt KPI"))</f>
        <v/>
      </c>
    </row>
    <row r="324">
      <c r="A324" s="10" t="inlineStr">
        <is>
          <t>SP-0321</t>
        </is>
      </c>
      <c r="B324" s="11" t="n">
        <v>46154</v>
      </c>
      <c r="C324" s="10" t="inlineStr">
        <is>
          <t>Tháng 05/2026</t>
        </is>
      </c>
      <c r="D324" s="10" t="inlineStr">
        <is>
          <t>Quý 2</t>
        </is>
      </c>
      <c r="E324" s="5" t="inlineStr">
        <is>
          <t>Ban Kinh tế - Tài chính</t>
        </is>
      </c>
      <c r="F324" s="5" t="inlineStr">
        <is>
          <t>Nhóm Minh Tuấn</t>
        </is>
      </c>
      <c r="G324" s="5" t="inlineStr">
        <is>
          <t>Facebook Page</t>
        </is>
      </c>
      <c r="H324" s="5" t="inlineStr">
        <is>
          <t>Video Bản tin (3-5p)</t>
        </is>
      </c>
      <c r="I324" s="5" t="inlineStr">
        <is>
          <t>Chính sách &amp; Pháp luật</t>
        </is>
      </c>
      <c r="J324" s="5" t="inlineStr">
        <is>
          <t>Cơ bản (15%)</t>
        </is>
      </c>
      <c r="K324" s="12" t="n">
        <v>112569</v>
      </c>
      <c r="L324" s="12" t="n">
        <v>9106</v>
      </c>
      <c r="M324" s="13">
        <f>L324/K324</f>
        <v/>
      </c>
      <c r="N324" s="12" t="n">
        <v>131</v>
      </c>
      <c r="O324" s="13" t="n">
        <v>0.6455</v>
      </c>
      <c r="P324" s="12" t="n">
        <v>3300000</v>
      </c>
      <c r="Q324" s="12" t="n">
        <v>6950000</v>
      </c>
      <c r="R324" s="12">
        <f>Q324-P324</f>
        <v/>
      </c>
      <c r="S324" s="13">
        <f>(Q324-P324)/P324</f>
        <v/>
      </c>
      <c r="T324" s="10">
        <f>IF(AND(K324&gt;=50000, S324&gt;=0.35), "Vượt KPI", IF(AND(K324&gt;=20000, S324&gt;=0), "Đạt KPI", "Chưa đạt KPI"))</f>
        <v/>
      </c>
    </row>
    <row r="325">
      <c r="A325" s="14" t="inlineStr">
        <is>
          <t>SP-0322</t>
        </is>
      </c>
      <c r="B325" s="15" t="n">
        <v>46162</v>
      </c>
      <c r="C325" s="14" t="inlineStr">
        <is>
          <t>Tháng 05/2026</t>
        </is>
      </c>
      <c r="D325" s="14" t="inlineStr">
        <is>
          <t>Quý 2</t>
        </is>
      </c>
      <c r="E325" s="16" t="inlineStr">
        <is>
          <t>Ban Video &amp; Truyền hình số</t>
        </is>
      </c>
      <c r="F325" s="16" t="inlineStr">
        <is>
          <t>Nhóm Đặng Minh</t>
        </is>
      </c>
      <c r="G325" s="16" t="inlineStr">
        <is>
          <t>TikTok</t>
        </is>
      </c>
      <c r="H325" s="16" t="inlineStr">
        <is>
          <t>Short Video (&lt;60s)</t>
        </is>
      </c>
      <c r="I325" s="16" t="inlineStr">
        <is>
          <t>Chính sách &amp; Pháp luật</t>
        </is>
      </c>
      <c r="J325" s="16" t="inlineStr">
        <is>
          <t>Hỗ trợ sâu (40%)</t>
        </is>
      </c>
      <c r="K325" s="17" t="n">
        <v>1096913</v>
      </c>
      <c r="L325" s="17" t="n">
        <v>94773</v>
      </c>
      <c r="M325" s="18">
        <f>L325/K325</f>
        <v/>
      </c>
      <c r="N325" s="17" t="n">
        <v>23</v>
      </c>
      <c r="O325" s="18" t="n">
        <v>0.6341</v>
      </c>
      <c r="P325" s="17" t="n">
        <v>1700000</v>
      </c>
      <c r="Q325" s="17" t="n">
        <v>3400000</v>
      </c>
      <c r="R325" s="17">
        <f>Q325-P325</f>
        <v/>
      </c>
      <c r="S325" s="18">
        <f>(Q325-P325)/P325</f>
        <v/>
      </c>
      <c r="T325" s="14">
        <f>IF(AND(K325&gt;=50000, S325&gt;=0.35), "Vượt KPI", IF(AND(K325&gt;=20000, S325&gt;=0), "Đạt KPI", "Chưa đạt KPI"))</f>
        <v/>
      </c>
    </row>
    <row r="326">
      <c r="A326" s="10" t="inlineStr">
        <is>
          <t>SP-0323</t>
        </is>
      </c>
      <c r="B326" s="11" t="n">
        <v>46124</v>
      </c>
      <c r="C326" s="10" t="inlineStr">
        <is>
          <t>Tháng 04/2026</t>
        </is>
      </c>
      <c r="D326" s="10" t="inlineStr">
        <is>
          <t>Quý 2</t>
        </is>
      </c>
      <c r="E326" s="5" t="inlineStr">
        <is>
          <t>Ban Đời sống - Giới trẻ</t>
        </is>
      </c>
      <c r="F326" s="5" t="inlineStr">
        <is>
          <t>Nhóm Bảo Ngọc</t>
        </is>
      </c>
      <c r="G326" s="5" t="inlineStr">
        <is>
          <t>Facebook Page</t>
        </is>
      </c>
      <c r="H326" s="5" t="inlineStr">
        <is>
          <t>Photo Story / Carousel</t>
        </is>
      </c>
      <c r="I326" s="5" t="inlineStr">
        <is>
          <t>Tài chính Cá nhân &amp; Đầu tư</t>
        </is>
      </c>
      <c r="J326" s="5" t="inlineStr">
        <is>
          <t>Cơ bản (15%)</t>
        </is>
      </c>
      <c r="K326" s="12" t="n">
        <v>307936</v>
      </c>
      <c r="L326" s="12" t="n">
        <v>7482</v>
      </c>
      <c r="M326" s="13">
        <f>L326/K326</f>
        <v/>
      </c>
      <c r="N326" s="12" t="n">
        <v>144</v>
      </c>
      <c r="O326" s="13" t="n">
        <v>0.6614</v>
      </c>
      <c r="P326" s="12" t="n">
        <v>1050000</v>
      </c>
      <c r="Q326" s="12" t="n">
        <v>2950000</v>
      </c>
      <c r="R326" s="12">
        <f>Q326-P326</f>
        <v/>
      </c>
      <c r="S326" s="13">
        <f>(Q326-P326)/P326</f>
        <v/>
      </c>
      <c r="T326" s="10">
        <f>IF(AND(K326&gt;=50000, S326&gt;=0.35), "Vượt KPI", IF(AND(K326&gt;=20000, S326&gt;=0), "Đạt KPI", "Chưa đạt KPI"))</f>
        <v/>
      </c>
    </row>
    <row r="327">
      <c r="A327" s="14" t="inlineStr">
        <is>
          <t>SP-0324</t>
        </is>
      </c>
      <c r="B327" s="15" t="n">
        <v>46077</v>
      </c>
      <c r="C327" s="14" t="inlineStr">
        <is>
          <t>Tháng 02/2026</t>
        </is>
      </c>
      <c r="D327" s="14" t="inlineStr">
        <is>
          <t>Quý 1</t>
        </is>
      </c>
      <c r="E327" s="16" t="inlineStr">
        <is>
          <t>Ban Phóng sự - Điều tra</t>
        </is>
      </c>
      <c r="F327" s="16" t="inlineStr">
        <is>
          <t>Nhóm Hải Đăng</t>
        </is>
      </c>
      <c r="G327" s="16" t="inlineStr">
        <is>
          <t>TikTok</t>
        </is>
      </c>
      <c r="H327" s="16" t="inlineStr">
        <is>
          <t>TikTok Reel (1-3p)</t>
        </is>
      </c>
      <c r="I327" s="16" t="inlineStr">
        <is>
          <t>Đời sống - Xã hội</t>
        </is>
      </c>
      <c r="J327" s="16" t="inlineStr">
        <is>
          <t>Hỗ trợ sâu (40%)</t>
        </is>
      </c>
      <c r="K327" s="17" t="n">
        <v>264446</v>
      </c>
      <c r="L327" s="17" t="n">
        <v>20018</v>
      </c>
      <c r="M327" s="18">
        <f>L327/K327</f>
        <v/>
      </c>
      <c r="N327" s="17" t="n">
        <v>68</v>
      </c>
      <c r="O327" s="18" t="n">
        <v>0.7725</v>
      </c>
      <c r="P327" s="17" t="n">
        <v>2350000</v>
      </c>
      <c r="Q327" s="17" t="n">
        <v>4650000</v>
      </c>
      <c r="R327" s="17">
        <f>Q327-P327</f>
        <v/>
      </c>
      <c r="S327" s="18">
        <f>(Q327-P327)/P327</f>
        <v/>
      </c>
      <c r="T327" s="14">
        <f>IF(AND(K327&gt;=50000, S327&gt;=0.35), "Vượt KPI", IF(AND(K327&gt;=20000, S327&gt;=0), "Đạt KPI", "Chưa đạt KPI"))</f>
        <v/>
      </c>
    </row>
    <row r="328">
      <c r="A328" s="10" t="inlineStr">
        <is>
          <t>SP-0325</t>
        </is>
      </c>
      <c r="B328" s="11" t="n">
        <v>46187</v>
      </c>
      <c r="C328" s="10" t="inlineStr">
        <is>
          <t>Tháng 06/2026</t>
        </is>
      </c>
      <c r="D328" s="10" t="inlineStr">
        <is>
          <t>Quý 2</t>
        </is>
      </c>
      <c r="E328" s="5" t="inlineStr">
        <is>
          <t>Ban Công nghệ &amp; AI</t>
        </is>
      </c>
      <c r="F328" s="5" t="inlineStr">
        <is>
          <t>Nhóm Tuấn Kiệt</t>
        </is>
      </c>
      <c r="G328" s="5" t="inlineStr">
        <is>
          <t>Báo Điện tử (Web)</t>
        </is>
      </c>
      <c r="H328" s="5" t="inlineStr">
        <is>
          <t>Longform / E-magazine</t>
        </is>
      </c>
      <c r="I328" s="5" t="inlineStr">
        <is>
          <t>Kinh tế - Thị trường</t>
        </is>
      </c>
      <c r="J328" s="5" t="inlineStr">
        <is>
          <t>Hỗ trợ sâu (40%)</t>
        </is>
      </c>
      <c r="K328" s="12" t="n">
        <v>41274</v>
      </c>
      <c r="L328" s="12" t="n">
        <v>1238</v>
      </c>
      <c r="M328" s="13">
        <f>L328/K328</f>
        <v/>
      </c>
      <c r="N328" s="12" t="n">
        <v>283</v>
      </c>
      <c r="O328" s="13" t="n">
        <v>0.7354000000000001</v>
      </c>
      <c r="P328" s="12" t="n">
        <v>3900000</v>
      </c>
      <c r="Q328" s="12" t="n">
        <v>1850000</v>
      </c>
      <c r="R328" s="12">
        <f>Q328-P328</f>
        <v/>
      </c>
      <c r="S328" s="13">
        <f>(Q328-P328)/P328</f>
        <v/>
      </c>
      <c r="T328" s="10">
        <f>IF(AND(K328&gt;=50000, S328&gt;=0.35), "Vượt KPI", IF(AND(K328&gt;=20000, S328&gt;=0), "Đạt KPI", "Chưa đạt KPI"))</f>
        <v/>
      </c>
    </row>
    <row r="329">
      <c r="A329" s="14" t="inlineStr">
        <is>
          <t>SP-0326</t>
        </is>
      </c>
      <c r="B329" s="15" t="n">
        <v>46199</v>
      </c>
      <c r="C329" s="14" t="inlineStr">
        <is>
          <t>Tháng 06/2026</t>
        </is>
      </c>
      <c r="D329" s="14" t="inlineStr">
        <is>
          <t>Quý 2</t>
        </is>
      </c>
      <c r="E329" s="16" t="inlineStr">
        <is>
          <t>Ban Đời sống - Giới trẻ</t>
        </is>
      </c>
      <c r="F329" s="16" t="inlineStr">
        <is>
          <t>Nhóm Duy Khánh</t>
        </is>
      </c>
      <c r="G329" s="16" t="inlineStr">
        <is>
          <t>Báo Điện tử (Web)</t>
        </is>
      </c>
      <c r="H329" s="16" t="inlineStr">
        <is>
          <t>Infographic / Mega Story</t>
        </is>
      </c>
      <c r="I329" s="16" t="inlineStr">
        <is>
          <t>Phóng sự Điều tra</t>
        </is>
      </c>
      <c r="J329" s="16" t="inlineStr">
        <is>
          <t>Toàn trình (70%)</t>
        </is>
      </c>
      <c r="K329" s="17" t="n">
        <v>44806</v>
      </c>
      <c r="L329" s="17" t="n">
        <v>1657</v>
      </c>
      <c r="M329" s="18">
        <f>L329/K329</f>
        <v/>
      </c>
      <c r="N329" s="17" t="n">
        <v>226</v>
      </c>
      <c r="O329" s="18" t="n">
        <v>0.7997</v>
      </c>
      <c r="P329" s="17" t="n">
        <v>3200000</v>
      </c>
      <c r="Q329" s="17" t="n">
        <v>8450000</v>
      </c>
      <c r="R329" s="17">
        <f>Q329-P329</f>
        <v/>
      </c>
      <c r="S329" s="18">
        <f>(Q329-P329)/P329</f>
        <v/>
      </c>
      <c r="T329" s="14">
        <f>IF(AND(K329&gt;=50000, S329&gt;=0.35), "Vượt KPI", IF(AND(K329&gt;=20000, S329&gt;=0), "Đạt KPI", "Chưa đạt KPI"))</f>
        <v/>
      </c>
    </row>
    <row r="330">
      <c r="A330" s="10" t="inlineStr">
        <is>
          <t>SP-0327</t>
        </is>
      </c>
      <c r="B330" s="11" t="n">
        <v>46129</v>
      </c>
      <c r="C330" s="10" t="inlineStr">
        <is>
          <t>Tháng 04/2026</t>
        </is>
      </c>
      <c r="D330" s="10" t="inlineStr">
        <is>
          <t>Quý 2</t>
        </is>
      </c>
      <c r="E330" s="5" t="inlineStr">
        <is>
          <t>Ban Đời sống - Giới trẻ</t>
        </is>
      </c>
      <c r="F330" s="5" t="inlineStr">
        <is>
          <t>Nhóm Duy Khánh</t>
        </is>
      </c>
      <c r="G330" s="5" t="inlineStr">
        <is>
          <t>Facebook Page</t>
        </is>
      </c>
      <c r="H330" s="5" t="inlineStr">
        <is>
          <t>Facebook Reels</t>
        </is>
      </c>
      <c r="I330" s="5" t="inlineStr">
        <is>
          <t>Kinh tế - Thị trường</t>
        </is>
      </c>
      <c r="J330" s="5" t="inlineStr">
        <is>
          <t>Hỗ trợ sâu (40%)</t>
        </is>
      </c>
      <c r="K330" s="12" t="n">
        <v>295330</v>
      </c>
      <c r="L330" s="12" t="n">
        <v>27288</v>
      </c>
      <c r="M330" s="13">
        <f>L330/K330</f>
        <v/>
      </c>
      <c r="N330" s="12" t="n">
        <v>149</v>
      </c>
      <c r="O330" s="13" t="n">
        <v>0.4289</v>
      </c>
      <c r="P330" s="12" t="n">
        <v>1500000</v>
      </c>
      <c r="Q330" s="12" t="n">
        <v>5300000</v>
      </c>
      <c r="R330" s="12">
        <f>Q330-P330</f>
        <v/>
      </c>
      <c r="S330" s="13">
        <f>(Q330-P330)/P330</f>
        <v/>
      </c>
      <c r="T330" s="10">
        <f>IF(AND(K330&gt;=50000, S330&gt;=0.35), "Vượt KPI", IF(AND(K330&gt;=20000, S330&gt;=0), "Đạt KPI", "Chưa đạt KPI"))</f>
        <v/>
      </c>
    </row>
    <row r="331">
      <c r="A331" s="14" t="inlineStr">
        <is>
          <t>SP-0328</t>
        </is>
      </c>
      <c r="B331" s="15" t="n">
        <v>46174</v>
      </c>
      <c r="C331" s="14" t="inlineStr">
        <is>
          <t>Tháng 06/2026</t>
        </is>
      </c>
      <c r="D331" s="14" t="inlineStr">
        <is>
          <t>Quý 2</t>
        </is>
      </c>
      <c r="E331" s="16" t="inlineStr">
        <is>
          <t>Ban Kinh tế - Tài chính</t>
        </is>
      </c>
      <c r="F331" s="16" t="inlineStr">
        <is>
          <t>Nhóm Minh Tuấn</t>
        </is>
      </c>
      <c r="G331" s="16" t="inlineStr">
        <is>
          <t>TikTok</t>
        </is>
      </c>
      <c r="H331" s="16" t="inlineStr">
        <is>
          <t>Short Video (&lt;60s)</t>
        </is>
      </c>
      <c r="I331" s="16" t="inlineStr">
        <is>
          <t>Tài chính Cá nhân &amp; Đầu tư</t>
        </is>
      </c>
      <c r="J331" s="16" t="inlineStr">
        <is>
          <t>Cơ bản (15%)</t>
        </is>
      </c>
      <c r="K331" s="17" t="n">
        <v>548973</v>
      </c>
      <c r="L331" s="17" t="n">
        <v>39251</v>
      </c>
      <c r="M331" s="18">
        <f>L331/K331</f>
        <v/>
      </c>
      <c r="N331" s="17" t="n">
        <v>18</v>
      </c>
      <c r="O331" s="18" t="n">
        <v>0.5684</v>
      </c>
      <c r="P331" s="17" t="n">
        <v>1650000</v>
      </c>
      <c r="Q331" s="17" t="n">
        <v>3700000</v>
      </c>
      <c r="R331" s="17">
        <f>Q331-P331</f>
        <v/>
      </c>
      <c r="S331" s="18">
        <f>(Q331-P331)/P331</f>
        <v/>
      </c>
      <c r="T331" s="14">
        <f>IF(AND(K331&gt;=50000, S331&gt;=0.35), "Vượt KPI", IF(AND(K331&gt;=20000, S331&gt;=0), "Đạt KPI", "Chưa đạt KPI"))</f>
        <v/>
      </c>
    </row>
    <row r="332">
      <c r="A332" s="10" t="inlineStr">
        <is>
          <t>SP-0329</t>
        </is>
      </c>
      <c r="B332" s="11" t="n">
        <v>46035</v>
      </c>
      <c r="C332" s="10" t="inlineStr">
        <is>
          <t>Tháng 01/2026</t>
        </is>
      </c>
      <c r="D332" s="10" t="inlineStr">
        <is>
          <t>Quý 1</t>
        </is>
      </c>
      <c r="E332" s="5" t="inlineStr">
        <is>
          <t>Ban Đời sống - Giới trẻ</t>
        </is>
      </c>
      <c r="F332" s="5" t="inlineStr">
        <is>
          <t>Nhóm Bảo Ngọc</t>
        </is>
      </c>
      <c r="G332" s="5" t="inlineStr">
        <is>
          <t>TikTok</t>
        </is>
      </c>
      <c r="H332" s="5" t="inlineStr">
        <is>
          <t>Short Video (&lt;60s)</t>
        </is>
      </c>
      <c r="I332" s="5" t="inlineStr">
        <is>
          <t>Tài chính Cá nhân &amp; Đầu tư</t>
        </is>
      </c>
      <c r="J332" s="5" t="inlineStr">
        <is>
          <t>Hỗ trợ sâu (40%)</t>
        </is>
      </c>
      <c r="K332" s="12" t="n">
        <v>223014</v>
      </c>
      <c r="L332" s="12" t="n">
        <v>23817</v>
      </c>
      <c r="M332" s="13">
        <f>L332/K332</f>
        <v/>
      </c>
      <c r="N332" s="12" t="n">
        <v>77</v>
      </c>
      <c r="O332" s="13" t="n">
        <v>0.4489</v>
      </c>
      <c r="P332" s="12" t="n">
        <v>1350000</v>
      </c>
      <c r="Q332" s="12" t="n">
        <v>4850000</v>
      </c>
      <c r="R332" s="12">
        <f>Q332-P332</f>
        <v/>
      </c>
      <c r="S332" s="13">
        <f>(Q332-P332)/P332</f>
        <v/>
      </c>
      <c r="T332" s="10">
        <f>IF(AND(K332&gt;=50000, S332&gt;=0.35), "Vượt KPI", IF(AND(K332&gt;=20000, S332&gt;=0), "Đạt KPI", "Chưa đạt KPI"))</f>
        <v/>
      </c>
    </row>
    <row r="333">
      <c r="A333" s="14" t="inlineStr">
        <is>
          <t>SP-0330</t>
        </is>
      </c>
      <c r="B333" s="15" t="n">
        <v>46153</v>
      </c>
      <c r="C333" s="14" t="inlineStr">
        <is>
          <t>Tháng 05/2026</t>
        </is>
      </c>
      <c r="D333" s="14" t="inlineStr">
        <is>
          <t>Quý 2</t>
        </is>
      </c>
      <c r="E333" s="16" t="inlineStr">
        <is>
          <t>Ban Video &amp; Truyền hình số</t>
        </is>
      </c>
      <c r="F333" s="16" t="inlineStr">
        <is>
          <t>Nhóm Đặng Minh</t>
        </is>
      </c>
      <c r="G333" s="16" t="inlineStr">
        <is>
          <t>YouTube</t>
        </is>
      </c>
      <c r="H333" s="16" t="inlineStr">
        <is>
          <t>YouTube Documentary (&gt;25p)</t>
        </is>
      </c>
      <c r="I333" s="16" t="inlineStr">
        <is>
          <t>Chính sách &amp; Pháp luật</t>
        </is>
      </c>
      <c r="J333" s="16" t="inlineStr">
        <is>
          <t>Hỗ trợ sâu (40%)</t>
        </is>
      </c>
      <c r="K333" s="17" t="n">
        <v>68028</v>
      </c>
      <c r="L333" s="17" t="n">
        <v>5176</v>
      </c>
      <c r="M333" s="18">
        <f>L333/K333</f>
        <v/>
      </c>
      <c r="N333" s="17" t="n">
        <v>559</v>
      </c>
      <c r="O333" s="18" t="n">
        <v>0.4018</v>
      </c>
      <c r="P333" s="17" t="n">
        <v>9350000</v>
      </c>
      <c r="Q333" s="17" t="n">
        <v>7200000</v>
      </c>
      <c r="R333" s="17">
        <f>Q333-P333</f>
        <v/>
      </c>
      <c r="S333" s="18">
        <f>(Q333-P333)/P333</f>
        <v/>
      </c>
      <c r="T333" s="14">
        <f>IF(AND(K333&gt;=50000, S333&gt;=0.35), "Vượt KPI", IF(AND(K333&gt;=20000, S333&gt;=0), "Đạt KPI", "Chưa đạt KPI"))</f>
        <v/>
      </c>
    </row>
    <row r="334">
      <c r="A334" s="10" t="inlineStr">
        <is>
          <t>SP-0331</t>
        </is>
      </c>
      <c r="B334" s="11" t="n">
        <v>46023</v>
      </c>
      <c r="C334" s="10" t="inlineStr">
        <is>
          <t>Tháng 01/2026</t>
        </is>
      </c>
      <c r="D334" s="10" t="inlineStr">
        <is>
          <t>Quý 1</t>
        </is>
      </c>
      <c r="E334" s="5" t="inlineStr">
        <is>
          <t>Ban Kinh tế - Tài chính</t>
        </is>
      </c>
      <c r="F334" s="5" t="inlineStr">
        <is>
          <t>Nhóm Minh Tuấn</t>
        </is>
      </c>
      <c r="G334" s="5" t="inlineStr">
        <is>
          <t>YouTube</t>
        </is>
      </c>
      <c r="H334" s="5" t="inlineStr">
        <is>
          <t>YouTube Documentary (&gt;25p)</t>
        </is>
      </c>
      <c r="I334" s="5" t="inlineStr">
        <is>
          <t>Chính sách &amp; Pháp luật</t>
        </is>
      </c>
      <c r="J334" s="5" t="inlineStr">
        <is>
          <t>Thủ công (0%)</t>
        </is>
      </c>
      <c r="K334" s="12" t="n">
        <v>554628</v>
      </c>
      <c r="L334" s="12" t="n">
        <v>33277</v>
      </c>
      <c r="M334" s="13">
        <f>L334/K334</f>
        <v/>
      </c>
      <c r="N334" s="12" t="n">
        <v>432</v>
      </c>
      <c r="O334" s="13" t="n">
        <v>0.339</v>
      </c>
      <c r="P334" s="12" t="n">
        <v>25200000</v>
      </c>
      <c r="Q334" s="12" t="n">
        <v>46050000</v>
      </c>
      <c r="R334" s="12">
        <f>Q334-P334</f>
        <v/>
      </c>
      <c r="S334" s="13">
        <f>(Q334-P334)/P334</f>
        <v/>
      </c>
      <c r="T334" s="10">
        <f>IF(AND(K334&gt;=50000, S334&gt;=0.35), "Vượt KPI", IF(AND(K334&gt;=20000, S334&gt;=0), "Đạt KPI", "Chưa đạt KPI"))</f>
        <v/>
      </c>
    </row>
    <row r="335">
      <c r="A335" s="14" t="inlineStr">
        <is>
          <t>SP-0332</t>
        </is>
      </c>
      <c r="B335" s="15" t="n">
        <v>46201</v>
      </c>
      <c r="C335" s="14" t="inlineStr">
        <is>
          <t>Tháng 06/2026</t>
        </is>
      </c>
      <c r="D335" s="14" t="inlineStr">
        <is>
          <t>Quý 2</t>
        </is>
      </c>
      <c r="E335" s="16" t="inlineStr">
        <is>
          <t>Ban Video &amp; Truyền hình số</t>
        </is>
      </c>
      <c r="F335" s="16" t="inlineStr">
        <is>
          <t>Nhóm Quốc Bảo</t>
        </is>
      </c>
      <c r="G335" s="16" t="inlineStr">
        <is>
          <t>TikTok</t>
        </is>
      </c>
      <c r="H335" s="16" t="inlineStr">
        <is>
          <t>Short Video (&lt;60s)</t>
        </is>
      </c>
      <c r="I335" s="16" t="inlineStr">
        <is>
          <t>Tài chính Cá nhân &amp; Đầu tư</t>
        </is>
      </c>
      <c r="J335" s="16" t="inlineStr">
        <is>
          <t>Toàn trình (70%)</t>
        </is>
      </c>
      <c r="K335" s="17" t="n">
        <v>604891</v>
      </c>
      <c r="L335" s="17" t="n">
        <v>33450</v>
      </c>
      <c r="M335" s="18">
        <f>L335/K335</f>
        <v/>
      </c>
      <c r="N335" s="17" t="n">
        <v>58</v>
      </c>
      <c r="O335" s="18" t="n">
        <v>0.3618</v>
      </c>
      <c r="P335" s="17" t="n">
        <v>800000</v>
      </c>
      <c r="Q335" s="17" t="n">
        <v>1550000</v>
      </c>
      <c r="R335" s="17">
        <f>Q335-P335</f>
        <v/>
      </c>
      <c r="S335" s="18">
        <f>(Q335-P335)/P335</f>
        <v/>
      </c>
      <c r="T335" s="14">
        <f>IF(AND(K335&gt;=50000, S335&gt;=0.35), "Vượt KPI", IF(AND(K335&gt;=20000, S335&gt;=0), "Đạt KPI", "Chưa đạt KPI"))</f>
        <v/>
      </c>
    </row>
    <row r="336">
      <c r="A336" s="10" t="inlineStr">
        <is>
          <t>SP-0333</t>
        </is>
      </c>
      <c r="B336" s="11" t="n">
        <v>46158</v>
      </c>
      <c r="C336" s="10" t="inlineStr">
        <is>
          <t>Tháng 05/2026</t>
        </is>
      </c>
      <c r="D336" s="10" t="inlineStr">
        <is>
          <t>Quý 2</t>
        </is>
      </c>
      <c r="E336" s="5" t="inlineStr">
        <is>
          <t>Ban Video &amp; Truyền hình số</t>
        </is>
      </c>
      <c r="F336" s="5" t="inlineStr">
        <is>
          <t>Nhóm Thu Trang</t>
        </is>
      </c>
      <c r="G336" s="5" t="inlineStr">
        <is>
          <t>Facebook Page</t>
        </is>
      </c>
      <c r="H336" s="5" t="inlineStr">
        <is>
          <t>Video Bản tin (3-5p)</t>
        </is>
      </c>
      <c r="I336" s="5" t="inlineStr">
        <is>
          <t>Phóng sự Điều tra</t>
        </is>
      </c>
      <c r="J336" s="5" t="inlineStr">
        <is>
          <t>Cơ bản (15%)</t>
        </is>
      </c>
      <c r="K336" s="12" t="n">
        <v>205189</v>
      </c>
      <c r="L336" s="12" t="n">
        <v>9459</v>
      </c>
      <c r="M336" s="13">
        <f>L336/K336</f>
        <v/>
      </c>
      <c r="N336" s="12" t="n">
        <v>31</v>
      </c>
      <c r="O336" s="13" t="n">
        <v>0.6112</v>
      </c>
      <c r="P336" s="12" t="n">
        <v>2350000</v>
      </c>
      <c r="Q336" s="12" t="n">
        <v>8550000</v>
      </c>
      <c r="R336" s="12">
        <f>Q336-P336</f>
        <v/>
      </c>
      <c r="S336" s="13">
        <f>(Q336-P336)/P336</f>
        <v/>
      </c>
      <c r="T336" s="10">
        <f>IF(AND(K336&gt;=50000, S336&gt;=0.35), "Vượt KPI", IF(AND(K336&gt;=20000, S336&gt;=0), "Đạt KPI", "Chưa đạt KPI"))</f>
        <v/>
      </c>
    </row>
    <row r="337">
      <c r="A337" s="14" t="inlineStr">
        <is>
          <t>SP-0334</t>
        </is>
      </c>
      <c r="B337" s="15" t="n">
        <v>46062</v>
      </c>
      <c r="C337" s="14" t="inlineStr">
        <is>
          <t>Tháng 02/2026</t>
        </is>
      </c>
      <c r="D337" s="14" t="inlineStr">
        <is>
          <t>Quý 1</t>
        </is>
      </c>
      <c r="E337" s="16" t="inlineStr">
        <is>
          <t>Ban Công nghệ &amp; AI</t>
        </is>
      </c>
      <c r="F337" s="16" t="inlineStr">
        <is>
          <t>Nhóm Gia Hưng</t>
        </is>
      </c>
      <c r="G337" s="16" t="inlineStr">
        <is>
          <t>Báo Điện tử (Web)</t>
        </is>
      </c>
      <c r="H337" s="16" t="inlineStr">
        <is>
          <t>Longform / E-magazine</t>
        </is>
      </c>
      <c r="I337" s="16" t="inlineStr">
        <is>
          <t>Kinh tế - Thị trường</t>
        </is>
      </c>
      <c r="J337" s="16" t="inlineStr">
        <is>
          <t>Thủ công (0%)</t>
        </is>
      </c>
      <c r="K337" s="17" t="n">
        <v>80921</v>
      </c>
      <c r="L337" s="17" t="n">
        <v>3657</v>
      </c>
      <c r="M337" s="18">
        <f>L337/K337</f>
        <v/>
      </c>
      <c r="N337" s="17" t="n">
        <v>280</v>
      </c>
      <c r="O337" s="18" t="n">
        <v>0.3646</v>
      </c>
      <c r="P337" s="17" t="n">
        <v>2000000</v>
      </c>
      <c r="Q337" s="17" t="n">
        <v>1650000</v>
      </c>
      <c r="R337" s="17">
        <f>Q337-P337</f>
        <v/>
      </c>
      <c r="S337" s="18">
        <f>(Q337-P337)/P337</f>
        <v/>
      </c>
      <c r="T337" s="14">
        <f>IF(AND(K337&gt;=50000, S337&gt;=0.35), "Vượt KPI", IF(AND(K337&gt;=20000, S337&gt;=0), "Đạt KPI", "Chưa đạt KPI"))</f>
        <v/>
      </c>
    </row>
    <row r="338">
      <c r="A338" s="10" t="inlineStr">
        <is>
          <t>SP-0335</t>
        </is>
      </c>
      <c r="B338" s="11" t="n">
        <v>46163</v>
      </c>
      <c r="C338" s="10" t="inlineStr">
        <is>
          <t>Tháng 05/2026</t>
        </is>
      </c>
      <c r="D338" s="10" t="inlineStr">
        <is>
          <t>Quý 2</t>
        </is>
      </c>
      <c r="E338" s="5" t="inlineStr">
        <is>
          <t>Ban Công nghệ &amp; AI</t>
        </is>
      </c>
      <c r="F338" s="5" t="inlineStr">
        <is>
          <t>Nhóm Gia Hưng</t>
        </is>
      </c>
      <c r="G338" s="5" t="inlineStr">
        <is>
          <t>YouTube</t>
        </is>
      </c>
      <c r="H338" s="5" t="inlineStr">
        <is>
          <t>YouTube Shorts</t>
        </is>
      </c>
      <c r="I338" s="5" t="inlineStr">
        <is>
          <t>Giáo dục &amp; Tuyển sinh</t>
        </is>
      </c>
      <c r="J338" s="5" t="inlineStr">
        <is>
          <t>Cơ bản (15%)</t>
        </is>
      </c>
      <c r="K338" s="12" t="n">
        <v>194148</v>
      </c>
      <c r="L338" s="12" t="n">
        <v>9319</v>
      </c>
      <c r="M338" s="13">
        <f>L338/K338</f>
        <v/>
      </c>
      <c r="N338" s="12" t="n">
        <v>226</v>
      </c>
      <c r="O338" s="13" t="n">
        <v>0.6823</v>
      </c>
      <c r="P338" s="12" t="n">
        <v>7400000</v>
      </c>
      <c r="Q338" s="12" t="n">
        <v>6050000</v>
      </c>
      <c r="R338" s="12">
        <f>Q338-P338</f>
        <v/>
      </c>
      <c r="S338" s="13">
        <f>(Q338-P338)/P338</f>
        <v/>
      </c>
      <c r="T338" s="10">
        <f>IF(AND(K338&gt;=50000, S338&gt;=0.35), "Vượt KPI", IF(AND(K338&gt;=20000, S338&gt;=0), "Đạt KPI", "Chưa đạt KPI"))</f>
        <v/>
      </c>
    </row>
    <row r="339">
      <c r="A339" s="14" t="inlineStr">
        <is>
          <t>SP-0336</t>
        </is>
      </c>
      <c r="B339" s="15" t="n">
        <v>46166</v>
      </c>
      <c r="C339" s="14" t="inlineStr">
        <is>
          <t>Tháng 05/2026</t>
        </is>
      </c>
      <c r="D339" s="14" t="inlineStr">
        <is>
          <t>Quý 2</t>
        </is>
      </c>
      <c r="E339" s="16" t="inlineStr">
        <is>
          <t>Ban Phóng sự - Điều tra</t>
        </is>
      </c>
      <c r="F339" s="16" t="inlineStr">
        <is>
          <t>Nhóm Hải Đăng</t>
        </is>
      </c>
      <c r="G339" s="16" t="inlineStr">
        <is>
          <t>TikTok</t>
        </is>
      </c>
      <c r="H339" s="16" t="inlineStr">
        <is>
          <t>Short Video (&lt;60s)</t>
        </is>
      </c>
      <c r="I339" s="16" t="inlineStr">
        <is>
          <t>Đời sống - Xã hội</t>
        </is>
      </c>
      <c r="J339" s="16" t="inlineStr">
        <is>
          <t>Toàn trình (70%)</t>
        </is>
      </c>
      <c r="K339" s="17" t="n">
        <v>935445</v>
      </c>
      <c r="L339" s="17" t="n">
        <v>99063</v>
      </c>
      <c r="M339" s="18">
        <f>L339/K339</f>
        <v/>
      </c>
      <c r="N339" s="17" t="n">
        <v>79</v>
      </c>
      <c r="O339" s="18" t="n">
        <v>0.7302999999999999</v>
      </c>
      <c r="P339" s="17" t="n">
        <v>1700000</v>
      </c>
      <c r="Q339" s="17" t="n">
        <v>5000000</v>
      </c>
      <c r="R339" s="17">
        <f>Q339-P339</f>
        <v/>
      </c>
      <c r="S339" s="18">
        <f>(Q339-P339)/P339</f>
        <v/>
      </c>
      <c r="T339" s="14">
        <f>IF(AND(K339&gt;=50000, S339&gt;=0.35), "Vượt KPI", IF(AND(K339&gt;=20000, S339&gt;=0), "Đạt KPI", "Chưa đạt KPI"))</f>
        <v/>
      </c>
    </row>
    <row r="340">
      <c r="A340" s="10" t="inlineStr">
        <is>
          <t>SP-0337</t>
        </is>
      </c>
      <c r="B340" s="11" t="n">
        <v>46120</v>
      </c>
      <c r="C340" s="10" t="inlineStr">
        <is>
          <t>Tháng 04/2026</t>
        </is>
      </c>
      <c r="D340" s="10" t="inlineStr">
        <is>
          <t>Quý 2</t>
        </is>
      </c>
      <c r="E340" s="5" t="inlineStr">
        <is>
          <t>Ban Thời sự - Chính trị</t>
        </is>
      </c>
      <c r="F340" s="5" t="inlineStr">
        <is>
          <t>Nhóm Quang Huy</t>
        </is>
      </c>
      <c r="G340" s="5" t="inlineStr">
        <is>
          <t>TikTok</t>
        </is>
      </c>
      <c r="H340" s="5" t="inlineStr">
        <is>
          <t>TikTok Reel (1-3p)</t>
        </is>
      </c>
      <c r="I340" s="5" t="inlineStr">
        <is>
          <t>Chính sách &amp; Pháp luật</t>
        </is>
      </c>
      <c r="J340" s="5" t="inlineStr">
        <is>
          <t>Thủ công (0%)</t>
        </is>
      </c>
      <c r="K340" s="12" t="n">
        <v>165273</v>
      </c>
      <c r="L340" s="12" t="n">
        <v>20345</v>
      </c>
      <c r="M340" s="13">
        <f>L340/K340</f>
        <v/>
      </c>
      <c r="N340" s="12" t="n">
        <v>38</v>
      </c>
      <c r="O340" s="13" t="n">
        <v>0.31</v>
      </c>
      <c r="P340" s="12" t="n">
        <v>3500000</v>
      </c>
      <c r="Q340" s="12" t="n">
        <v>6300000</v>
      </c>
      <c r="R340" s="12">
        <f>Q340-P340</f>
        <v/>
      </c>
      <c r="S340" s="13">
        <f>(Q340-P340)/P340</f>
        <v/>
      </c>
      <c r="T340" s="10">
        <f>IF(AND(K340&gt;=50000, S340&gt;=0.35), "Vượt KPI", IF(AND(K340&gt;=20000, S340&gt;=0), "Đạt KPI", "Chưa đạt KPI"))</f>
        <v/>
      </c>
    </row>
    <row r="341">
      <c r="A341" s="14" t="inlineStr">
        <is>
          <t>SP-0338</t>
        </is>
      </c>
      <c r="B341" s="15" t="n">
        <v>46146</v>
      </c>
      <c r="C341" s="14" t="inlineStr">
        <is>
          <t>Tháng 05/2026</t>
        </is>
      </c>
      <c r="D341" s="14" t="inlineStr">
        <is>
          <t>Quý 2</t>
        </is>
      </c>
      <c r="E341" s="16" t="inlineStr">
        <is>
          <t>Ban Đời sống - Giới trẻ</t>
        </is>
      </c>
      <c r="F341" s="16" t="inlineStr">
        <is>
          <t>Nhóm Bảo Ngọc</t>
        </is>
      </c>
      <c r="G341" s="16" t="inlineStr">
        <is>
          <t>TikTok</t>
        </is>
      </c>
      <c r="H341" s="16" t="inlineStr">
        <is>
          <t>Short Video (&lt;60s)</t>
        </is>
      </c>
      <c r="I341" s="16" t="inlineStr">
        <is>
          <t>Chính sách &amp; Pháp luật</t>
        </is>
      </c>
      <c r="J341" s="16" t="inlineStr">
        <is>
          <t>Cơ bản (15%)</t>
        </is>
      </c>
      <c r="K341" s="17" t="n">
        <v>404760</v>
      </c>
      <c r="L341" s="17" t="n">
        <v>49218</v>
      </c>
      <c r="M341" s="18">
        <f>L341/K341</f>
        <v/>
      </c>
      <c r="N341" s="17" t="n">
        <v>62</v>
      </c>
      <c r="O341" s="18" t="n">
        <v>0.6539</v>
      </c>
      <c r="P341" s="17" t="n">
        <v>850000</v>
      </c>
      <c r="Q341" s="17" t="n">
        <v>400000</v>
      </c>
      <c r="R341" s="17">
        <f>Q341-P341</f>
        <v/>
      </c>
      <c r="S341" s="18">
        <f>(Q341-P341)/P341</f>
        <v/>
      </c>
      <c r="T341" s="14">
        <f>IF(AND(K341&gt;=50000, S341&gt;=0.35), "Vượt KPI", IF(AND(K341&gt;=20000, S341&gt;=0), "Đạt KPI", "Chưa đạt KPI"))</f>
        <v/>
      </c>
    </row>
    <row r="342">
      <c r="A342" s="10" t="inlineStr">
        <is>
          <t>SP-0339</t>
        </is>
      </c>
      <c r="B342" s="11" t="n">
        <v>46145</v>
      </c>
      <c r="C342" s="10" t="inlineStr">
        <is>
          <t>Tháng 05/2026</t>
        </is>
      </c>
      <c r="D342" s="10" t="inlineStr">
        <is>
          <t>Quý 2</t>
        </is>
      </c>
      <c r="E342" s="5" t="inlineStr">
        <is>
          <t>Ban Công nghệ &amp; AI</t>
        </is>
      </c>
      <c r="F342" s="5" t="inlineStr">
        <is>
          <t>Nhóm Gia Hưng</t>
        </is>
      </c>
      <c r="G342" s="5" t="inlineStr">
        <is>
          <t>YouTube</t>
        </is>
      </c>
      <c r="H342" s="5" t="inlineStr">
        <is>
          <t>YouTube Long-form (10-25p)</t>
        </is>
      </c>
      <c r="I342" s="5" t="inlineStr">
        <is>
          <t>Công nghệ &amp; AI</t>
        </is>
      </c>
      <c r="J342" s="5" t="inlineStr">
        <is>
          <t>Hỗ trợ sâu (40%)</t>
        </is>
      </c>
      <c r="K342" s="12" t="n">
        <v>256880</v>
      </c>
      <c r="L342" s="12" t="n">
        <v>18187</v>
      </c>
      <c r="M342" s="13">
        <f>L342/K342</f>
        <v/>
      </c>
      <c r="N342" s="12" t="n">
        <v>514</v>
      </c>
      <c r="O342" s="13" t="n">
        <v>0.3732</v>
      </c>
      <c r="P342" s="12" t="n">
        <v>4800000</v>
      </c>
      <c r="Q342" s="12" t="n">
        <v>22150000</v>
      </c>
      <c r="R342" s="12">
        <f>Q342-P342</f>
        <v/>
      </c>
      <c r="S342" s="13">
        <f>(Q342-P342)/P342</f>
        <v/>
      </c>
      <c r="T342" s="10">
        <f>IF(AND(K342&gt;=50000, S342&gt;=0.35), "Vượt KPI", IF(AND(K342&gt;=20000, S342&gt;=0), "Đạt KPI", "Chưa đạt KPI"))</f>
        <v/>
      </c>
    </row>
    <row r="343">
      <c r="A343" s="14" t="inlineStr">
        <is>
          <t>SP-0340</t>
        </is>
      </c>
      <c r="B343" s="15" t="n">
        <v>46185</v>
      </c>
      <c r="C343" s="14" t="inlineStr">
        <is>
          <t>Tháng 06/2026</t>
        </is>
      </c>
      <c r="D343" s="14" t="inlineStr">
        <is>
          <t>Quý 2</t>
        </is>
      </c>
      <c r="E343" s="16" t="inlineStr">
        <is>
          <t>Ban Kinh tế - Tài chính</t>
        </is>
      </c>
      <c r="F343" s="16" t="inlineStr">
        <is>
          <t>Nhóm Lan Hương</t>
        </is>
      </c>
      <c r="G343" s="16" t="inlineStr">
        <is>
          <t>Báo Điện tử (Web)</t>
        </is>
      </c>
      <c r="H343" s="16" t="inlineStr">
        <is>
          <t>Infographic / Mega Story</t>
        </is>
      </c>
      <c r="I343" s="16" t="inlineStr">
        <is>
          <t>Kinh tế - Thị trường</t>
        </is>
      </c>
      <c r="J343" s="16" t="inlineStr">
        <is>
          <t>Hỗ trợ sâu (40%)</t>
        </is>
      </c>
      <c r="K343" s="17" t="n">
        <v>197086</v>
      </c>
      <c r="L343" s="17" t="n">
        <v>13086</v>
      </c>
      <c r="M343" s="18">
        <f>L343/K343</f>
        <v/>
      </c>
      <c r="N343" s="17" t="n">
        <v>96</v>
      </c>
      <c r="O343" s="18" t="n">
        <v>0.4403</v>
      </c>
      <c r="P343" s="17" t="n">
        <v>2450000</v>
      </c>
      <c r="Q343" s="17" t="n">
        <v>4650000</v>
      </c>
      <c r="R343" s="17">
        <f>Q343-P343</f>
        <v/>
      </c>
      <c r="S343" s="18">
        <f>(Q343-P343)/P343</f>
        <v/>
      </c>
      <c r="T343" s="14">
        <f>IF(AND(K343&gt;=50000, S343&gt;=0.35), "Vượt KPI", IF(AND(K343&gt;=20000, S343&gt;=0), "Đạt KPI", "Chưa đạt KPI"))</f>
        <v/>
      </c>
    </row>
    <row r="344">
      <c r="A344" s="10" t="inlineStr">
        <is>
          <t>SP-0341</t>
        </is>
      </c>
      <c r="B344" s="11" t="n">
        <v>46050</v>
      </c>
      <c r="C344" s="10" t="inlineStr">
        <is>
          <t>Tháng 01/2026</t>
        </is>
      </c>
      <c r="D344" s="10" t="inlineStr">
        <is>
          <t>Quý 1</t>
        </is>
      </c>
      <c r="E344" s="5" t="inlineStr">
        <is>
          <t>Ban Phóng sự - Điều tra</t>
        </is>
      </c>
      <c r="F344" s="5" t="inlineStr">
        <is>
          <t>Nhóm Trọng Nghĩa</t>
        </is>
      </c>
      <c r="G344" s="5" t="inlineStr">
        <is>
          <t>YouTube</t>
        </is>
      </c>
      <c r="H344" s="5" t="inlineStr">
        <is>
          <t>YouTube Documentary (&gt;25p)</t>
        </is>
      </c>
      <c r="I344" s="5" t="inlineStr">
        <is>
          <t>Chính sách &amp; Pháp luật</t>
        </is>
      </c>
      <c r="J344" s="5" t="inlineStr">
        <is>
          <t>Thủ công (0%)</t>
        </is>
      </c>
      <c r="K344" s="12" t="n">
        <v>42690</v>
      </c>
      <c r="L344" s="12" t="n">
        <v>3150</v>
      </c>
      <c r="M344" s="13">
        <f>L344/K344</f>
        <v/>
      </c>
      <c r="N344" s="12" t="n">
        <v>135</v>
      </c>
      <c r="O344" s="13" t="n">
        <v>0.3687</v>
      </c>
      <c r="P344" s="12" t="n">
        <v>13850000</v>
      </c>
      <c r="Q344" s="12" t="n">
        <v>47800000</v>
      </c>
      <c r="R344" s="12">
        <f>Q344-P344</f>
        <v/>
      </c>
      <c r="S344" s="13">
        <f>(Q344-P344)/P344</f>
        <v/>
      </c>
      <c r="T344" s="10">
        <f>IF(AND(K344&gt;=50000, S344&gt;=0.35), "Vượt KPI", IF(AND(K344&gt;=20000, S344&gt;=0), "Đạt KPI", "Chưa đạt KPI"))</f>
        <v/>
      </c>
    </row>
    <row r="345">
      <c r="A345" s="14" t="inlineStr">
        <is>
          <t>SP-0342</t>
        </is>
      </c>
      <c r="B345" s="15" t="n">
        <v>46100</v>
      </c>
      <c r="C345" s="14" t="inlineStr">
        <is>
          <t>Tháng 03/2026</t>
        </is>
      </c>
      <c r="D345" s="14" t="inlineStr">
        <is>
          <t>Quý 1</t>
        </is>
      </c>
      <c r="E345" s="16" t="inlineStr">
        <is>
          <t>Ban Đời sống - Giới trẻ</t>
        </is>
      </c>
      <c r="F345" s="16" t="inlineStr">
        <is>
          <t>Nhóm Duy Khánh</t>
        </is>
      </c>
      <c r="G345" s="16" t="inlineStr">
        <is>
          <t>YouTube</t>
        </is>
      </c>
      <c r="H345" s="16" t="inlineStr">
        <is>
          <t>YouTube Shorts</t>
        </is>
      </c>
      <c r="I345" s="16" t="inlineStr">
        <is>
          <t>Đời sống - Xã hội</t>
        </is>
      </c>
      <c r="J345" s="16" t="inlineStr">
        <is>
          <t>Thủ công (0%)</t>
        </is>
      </c>
      <c r="K345" s="17" t="n">
        <v>55676</v>
      </c>
      <c r="L345" s="17" t="n">
        <v>3028</v>
      </c>
      <c r="M345" s="18">
        <f>L345/K345</f>
        <v/>
      </c>
      <c r="N345" s="17" t="n">
        <v>243</v>
      </c>
      <c r="O345" s="18" t="n">
        <v>0.5032</v>
      </c>
      <c r="P345" s="17" t="n">
        <v>16250000</v>
      </c>
      <c r="Q345" s="17" t="n">
        <v>31550000</v>
      </c>
      <c r="R345" s="17">
        <f>Q345-P345</f>
        <v/>
      </c>
      <c r="S345" s="18">
        <f>(Q345-P345)/P345</f>
        <v/>
      </c>
      <c r="T345" s="14">
        <f>IF(AND(K345&gt;=50000, S345&gt;=0.35), "Vượt KPI", IF(AND(K345&gt;=20000, S345&gt;=0), "Đạt KPI", "Chưa đạt KPI"))</f>
        <v/>
      </c>
    </row>
    <row r="346">
      <c r="A346" s="10" t="inlineStr">
        <is>
          <t>SP-0343</t>
        </is>
      </c>
      <c r="B346" s="11" t="n">
        <v>46113</v>
      </c>
      <c r="C346" s="10" t="inlineStr">
        <is>
          <t>Tháng 04/2026</t>
        </is>
      </c>
      <c r="D346" s="10" t="inlineStr">
        <is>
          <t>Quý 2</t>
        </is>
      </c>
      <c r="E346" s="5" t="inlineStr">
        <is>
          <t>Ban Công nghệ &amp; AI</t>
        </is>
      </c>
      <c r="F346" s="5" t="inlineStr">
        <is>
          <t>Nhóm Tuấn Kiệt</t>
        </is>
      </c>
      <c r="G346" s="5" t="inlineStr">
        <is>
          <t>YouTube</t>
        </is>
      </c>
      <c r="H346" s="5" t="inlineStr">
        <is>
          <t>YouTube Long-form (10-25p)</t>
        </is>
      </c>
      <c r="I346" s="5" t="inlineStr">
        <is>
          <t>Kinh tế - Thị trường</t>
        </is>
      </c>
      <c r="J346" s="5" t="inlineStr">
        <is>
          <t>Toàn trình (70%)</t>
        </is>
      </c>
      <c r="K346" s="12" t="n">
        <v>230167</v>
      </c>
      <c r="L346" s="12" t="n">
        <v>21635</v>
      </c>
      <c r="M346" s="13">
        <f>L346/K346</f>
        <v/>
      </c>
      <c r="N346" s="12" t="n">
        <v>675</v>
      </c>
      <c r="O346" s="13" t="n">
        <v>0.4551</v>
      </c>
      <c r="P346" s="12" t="n">
        <v>8250000</v>
      </c>
      <c r="Q346" s="12" t="n">
        <v>6900000</v>
      </c>
      <c r="R346" s="12">
        <f>Q346-P346</f>
        <v/>
      </c>
      <c r="S346" s="13">
        <f>(Q346-P346)/P346</f>
        <v/>
      </c>
      <c r="T346" s="10">
        <f>IF(AND(K346&gt;=50000, S346&gt;=0.35), "Vượt KPI", IF(AND(K346&gt;=20000, S346&gt;=0), "Đạt KPI", "Chưa đạt KPI"))</f>
        <v/>
      </c>
    </row>
    <row r="347">
      <c r="A347" s="14" t="inlineStr">
        <is>
          <t>SP-0344</t>
        </is>
      </c>
      <c r="B347" s="15" t="n">
        <v>46082</v>
      </c>
      <c r="C347" s="14" t="inlineStr">
        <is>
          <t>Tháng 03/2026</t>
        </is>
      </c>
      <c r="D347" s="14" t="inlineStr">
        <is>
          <t>Quý 1</t>
        </is>
      </c>
      <c r="E347" s="16" t="inlineStr">
        <is>
          <t>Ban Công nghệ &amp; AI</t>
        </is>
      </c>
      <c r="F347" s="16" t="inlineStr">
        <is>
          <t>Nhóm Gia Hưng</t>
        </is>
      </c>
      <c r="G347" s="16" t="inlineStr">
        <is>
          <t>YouTube</t>
        </is>
      </c>
      <c r="H347" s="16" t="inlineStr">
        <is>
          <t>YouTube Long-form (10-25p)</t>
        </is>
      </c>
      <c r="I347" s="16" t="inlineStr">
        <is>
          <t>Giáo dục &amp; Tuyển sinh</t>
        </is>
      </c>
      <c r="J347" s="16" t="inlineStr">
        <is>
          <t>Hỗ trợ sâu (40%)</t>
        </is>
      </c>
      <c r="K347" s="17" t="n">
        <v>662992</v>
      </c>
      <c r="L347" s="17" t="n">
        <v>60531</v>
      </c>
      <c r="M347" s="18">
        <f>L347/K347</f>
        <v/>
      </c>
      <c r="N347" s="17" t="n">
        <v>559</v>
      </c>
      <c r="O347" s="18" t="n">
        <v>0.6274999999999999</v>
      </c>
      <c r="P347" s="17" t="n">
        <v>11100000</v>
      </c>
      <c r="Q347" s="17" t="n">
        <v>46150000</v>
      </c>
      <c r="R347" s="17">
        <f>Q347-P347</f>
        <v/>
      </c>
      <c r="S347" s="18">
        <f>(Q347-P347)/P347</f>
        <v/>
      </c>
      <c r="T347" s="14">
        <f>IF(AND(K347&gt;=50000, S347&gt;=0.35), "Vượt KPI", IF(AND(K347&gt;=20000, S347&gt;=0), "Đạt KPI", "Chưa đạt KPI"))</f>
        <v/>
      </c>
    </row>
    <row r="348">
      <c r="A348" s="10" t="inlineStr">
        <is>
          <t>SP-0345</t>
        </is>
      </c>
      <c r="B348" s="11" t="n">
        <v>46050</v>
      </c>
      <c r="C348" s="10" t="inlineStr">
        <is>
          <t>Tháng 01/2026</t>
        </is>
      </c>
      <c r="D348" s="10" t="inlineStr">
        <is>
          <t>Quý 1</t>
        </is>
      </c>
      <c r="E348" s="5" t="inlineStr">
        <is>
          <t>Ban Kinh tế - Tài chính</t>
        </is>
      </c>
      <c r="F348" s="5" t="inlineStr">
        <is>
          <t>Nhóm Đức Thịnh</t>
        </is>
      </c>
      <c r="G348" s="5" t="inlineStr">
        <is>
          <t>YouTube</t>
        </is>
      </c>
      <c r="H348" s="5" t="inlineStr">
        <is>
          <t>YouTube Shorts</t>
        </is>
      </c>
      <c r="I348" s="5" t="inlineStr">
        <is>
          <t>Kinh tế - Thị trường</t>
        </is>
      </c>
      <c r="J348" s="5" t="inlineStr">
        <is>
          <t>Cơ bản (15%)</t>
        </is>
      </c>
      <c r="K348" s="12" t="n">
        <v>553175</v>
      </c>
      <c r="L348" s="12" t="n">
        <v>23067</v>
      </c>
      <c r="M348" s="13">
        <f>L348/K348</f>
        <v/>
      </c>
      <c r="N348" s="12" t="n">
        <v>201</v>
      </c>
      <c r="O348" s="13" t="n">
        <v>0.5063</v>
      </c>
      <c r="P348" s="12" t="n">
        <v>6000000</v>
      </c>
      <c r="Q348" s="12" t="n">
        <v>19700000</v>
      </c>
      <c r="R348" s="12">
        <f>Q348-P348</f>
        <v/>
      </c>
      <c r="S348" s="13">
        <f>(Q348-P348)/P348</f>
        <v/>
      </c>
      <c r="T348" s="10">
        <f>IF(AND(K348&gt;=50000, S348&gt;=0.35), "Vượt KPI", IF(AND(K348&gt;=20000, S348&gt;=0), "Đạt KPI", "Chưa đạt KPI"))</f>
        <v/>
      </c>
    </row>
    <row r="349">
      <c r="A349" s="14" t="inlineStr">
        <is>
          <t>SP-0346</t>
        </is>
      </c>
      <c r="B349" s="15" t="n">
        <v>46191</v>
      </c>
      <c r="C349" s="14" t="inlineStr">
        <is>
          <t>Tháng 06/2026</t>
        </is>
      </c>
      <c r="D349" s="14" t="inlineStr">
        <is>
          <t>Quý 2</t>
        </is>
      </c>
      <c r="E349" s="16" t="inlineStr">
        <is>
          <t>Ban Thời sự - Chính trị</t>
        </is>
      </c>
      <c r="F349" s="16" t="inlineStr">
        <is>
          <t>Nhóm Thanh Tâm</t>
        </is>
      </c>
      <c r="G349" s="16" t="inlineStr">
        <is>
          <t>YouTube</t>
        </is>
      </c>
      <c r="H349" s="16" t="inlineStr">
        <is>
          <t>YouTube Long-form (10-25p)</t>
        </is>
      </c>
      <c r="I349" s="16" t="inlineStr">
        <is>
          <t>Giáo dục &amp; Tuyển sinh</t>
        </is>
      </c>
      <c r="J349" s="16" t="inlineStr">
        <is>
          <t>Toàn trình (70%)</t>
        </is>
      </c>
      <c r="K349" s="17" t="n">
        <v>16141</v>
      </c>
      <c r="L349" s="17" t="n">
        <v>587</v>
      </c>
      <c r="M349" s="18">
        <f>L349/K349</f>
        <v/>
      </c>
      <c r="N349" s="17" t="n">
        <v>152</v>
      </c>
      <c r="O349" s="18" t="n">
        <v>0.5824</v>
      </c>
      <c r="P349" s="17" t="n">
        <v>8900000</v>
      </c>
      <c r="Q349" s="17" t="n">
        <v>32900000</v>
      </c>
      <c r="R349" s="17">
        <f>Q349-P349</f>
        <v/>
      </c>
      <c r="S349" s="18">
        <f>(Q349-P349)/P349</f>
        <v/>
      </c>
      <c r="T349" s="14">
        <f>IF(AND(K349&gt;=50000, S349&gt;=0.35), "Vượt KPI", IF(AND(K349&gt;=20000, S349&gt;=0), "Đạt KPI", "Chưa đạt KPI"))</f>
        <v/>
      </c>
    </row>
    <row r="350">
      <c r="A350" s="10" t="inlineStr">
        <is>
          <t>SP-0347</t>
        </is>
      </c>
      <c r="B350" s="11" t="n">
        <v>46089</v>
      </c>
      <c r="C350" s="10" t="inlineStr">
        <is>
          <t>Tháng 03/2026</t>
        </is>
      </c>
      <c r="D350" s="10" t="inlineStr">
        <is>
          <t>Quý 1</t>
        </is>
      </c>
      <c r="E350" s="5" t="inlineStr">
        <is>
          <t>Ban Công nghệ &amp; AI</t>
        </is>
      </c>
      <c r="F350" s="5" t="inlineStr">
        <is>
          <t>Nhóm Gia Hưng</t>
        </is>
      </c>
      <c r="G350" s="5" t="inlineStr">
        <is>
          <t>YouTube</t>
        </is>
      </c>
      <c r="H350" s="5" t="inlineStr">
        <is>
          <t>YouTube Shorts</t>
        </is>
      </c>
      <c r="I350" s="5" t="inlineStr">
        <is>
          <t>Giáo dục &amp; Tuyển sinh</t>
        </is>
      </c>
      <c r="J350" s="5" t="inlineStr">
        <is>
          <t>Hỗ trợ sâu (40%)</t>
        </is>
      </c>
      <c r="K350" s="12" t="n">
        <v>195004</v>
      </c>
      <c r="L350" s="12" t="n">
        <v>8151</v>
      </c>
      <c r="M350" s="13">
        <f>L350/K350</f>
        <v/>
      </c>
      <c r="N350" s="12" t="n">
        <v>357</v>
      </c>
      <c r="O350" s="13" t="n">
        <v>0.4713</v>
      </c>
      <c r="P350" s="12" t="n">
        <v>3200000</v>
      </c>
      <c r="Q350" s="12" t="n">
        <v>10450000</v>
      </c>
      <c r="R350" s="12">
        <f>Q350-P350</f>
        <v/>
      </c>
      <c r="S350" s="13">
        <f>(Q350-P350)/P350</f>
        <v/>
      </c>
      <c r="T350" s="10">
        <f>IF(AND(K350&gt;=50000, S350&gt;=0.35), "Vượt KPI", IF(AND(K350&gt;=20000, S350&gt;=0), "Đạt KPI", "Chưa đạt KPI"))</f>
        <v/>
      </c>
    </row>
    <row r="351">
      <c r="A351" s="14" t="inlineStr">
        <is>
          <t>SP-0348</t>
        </is>
      </c>
      <c r="B351" s="15" t="n">
        <v>46161</v>
      </c>
      <c r="C351" s="14" t="inlineStr">
        <is>
          <t>Tháng 05/2026</t>
        </is>
      </c>
      <c r="D351" s="14" t="inlineStr">
        <is>
          <t>Quý 2</t>
        </is>
      </c>
      <c r="E351" s="16" t="inlineStr">
        <is>
          <t>Ban Video &amp; Truyền hình số</t>
        </is>
      </c>
      <c r="F351" s="16" t="inlineStr">
        <is>
          <t>Nhóm Đặng Minh</t>
        </is>
      </c>
      <c r="G351" s="16" t="inlineStr">
        <is>
          <t>Facebook Page</t>
        </is>
      </c>
      <c r="H351" s="16" t="inlineStr">
        <is>
          <t>Video Bản tin (3-5p)</t>
        </is>
      </c>
      <c r="I351" s="16" t="inlineStr">
        <is>
          <t>Công nghệ &amp; AI</t>
        </is>
      </c>
      <c r="J351" s="16" t="inlineStr">
        <is>
          <t>Cơ bản (15%)</t>
        </is>
      </c>
      <c r="K351" s="17" t="n">
        <v>395672</v>
      </c>
      <c r="L351" s="17" t="n">
        <v>29437</v>
      </c>
      <c r="M351" s="18">
        <f>L351/K351</f>
        <v/>
      </c>
      <c r="N351" s="17" t="n">
        <v>48</v>
      </c>
      <c r="O351" s="18" t="n">
        <v>0.5346</v>
      </c>
      <c r="P351" s="17" t="n">
        <v>2050000</v>
      </c>
      <c r="Q351" s="17" t="n">
        <v>4950000</v>
      </c>
      <c r="R351" s="17">
        <f>Q351-P351</f>
        <v/>
      </c>
      <c r="S351" s="18">
        <f>(Q351-P351)/P351</f>
        <v/>
      </c>
      <c r="T351" s="14">
        <f>IF(AND(K351&gt;=50000, S351&gt;=0.35), "Vượt KPI", IF(AND(K351&gt;=20000, S351&gt;=0), "Đạt KPI", "Chưa đạt KPI"))</f>
        <v/>
      </c>
    </row>
    <row r="352">
      <c r="A352" s="10" t="inlineStr">
        <is>
          <t>SP-0349</t>
        </is>
      </c>
      <c r="B352" s="11" t="n">
        <v>46035</v>
      </c>
      <c r="C352" s="10" t="inlineStr">
        <is>
          <t>Tháng 01/2026</t>
        </is>
      </c>
      <c r="D352" s="10" t="inlineStr">
        <is>
          <t>Quý 1</t>
        </is>
      </c>
      <c r="E352" s="5" t="inlineStr">
        <is>
          <t>Ban Phóng sự - Điều tra</t>
        </is>
      </c>
      <c r="F352" s="5" t="inlineStr">
        <is>
          <t>Nhóm Hải Đăng</t>
        </is>
      </c>
      <c r="G352" s="5" t="inlineStr">
        <is>
          <t>Podcast / Audio</t>
        </is>
      </c>
      <c r="H352" s="5" t="inlineStr">
        <is>
          <t>Điểm tin Audio AI (5p)</t>
        </is>
      </c>
      <c r="I352" s="5" t="inlineStr">
        <is>
          <t>Phóng sự Điều tra</t>
        </is>
      </c>
      <c r="J352" s="5" t="inlineStr">
        <is>
          <t>Toàn trình (70%)</t>
        </is>
      </c>
      <c r="K352" s="12" t="n">
        <v>41192</v>
      </c>
      <c r="L352" s="12" t="n">
        <v>2434</v>
      </c>
      <c r="M352" s="13">
        <f>L352/K352</f>
        <v/>
      </c>
      <c r="N352" s="12" t="n">
        <v>886</v>
      </c>
      <c r="O352" s="13" t="n">
        <v>0.7338</v>
      </c>
      <c r="P352" s="12" t="n">
        <v>2450000</v>
      </c>
      <c r="Q352" s="12" t="n">
        <v>5350000</v>
      </c>
      <c r="R352" s="12">
        <f>Q352-P352</f>
        <v/>
      </c>
      <c r="S352" s="13">
        <f>(Q352-P352)/P352</f>
        <v/>
      </c>
      <c r="T352" s="10">
        <f>IF(AND(K352&gt;=50000, S352&gt;=0.35), "Vượt KPI", IF(AND(K352&gt;=20000, S352&gt;=0), "Đạt KPI", "Chưa đạt KPI"))</f>
        <v/>
      </c>
    </row>
    <row r="353">
      <c r="A353" s="14" t="inlineStr">
        <is>
          <t>SP-0350</t>
        </is>
      </c>
      <c r="B353" s="15" t="n">
        <v>46077</v>
      </c>
      <c r="C353" s="14" t="inlineStr">
        <is>
          <t>Tháng 02/2026</t>
        </is>
      </c>
      <c r="D353" s="14" t="inlineStr">
        <is>
          <t>Quý 1</t>
        </is>
      </c>
      <c r="E353" s="16" t="inlineStr">
        <is>
          <t>Ban Kinh tế - Tài chính</t>
        </is>
      </c>
      <c r="F353" s="16" t="inlineStr">
        <is>
          <t>Nhóm Minh Tuấn</t>
        </is>
      </c>
      <c r="G353" s="16" t="inlineStr">
        <is>
          <t>Báo Điện tử (Web)</t>
        </is>
      </c>
      <c r="H353" s="16" t="inlineStr">
        <is>
          <t>Infographic / Mega Story</t>
        </is>
      </c>
      <c r="I353" s="16" t="inlineStr">
        <is>
          <t>Tài chính Cá nhân &amp; Đầu tư</t>
        </is>
      </c>
      <c r="J353" s="16" t="inlineStr">
        <is>
          <t>Hỗ trợ sâu (40%)</t>
        </is>
      </c>
      <c r="K353" s="17" t="n">
        <v>184699</v>
      </c>
      <c r="L353" s="17" t="n">
        <v>7960</v>
      </c>
      <c r="M353" s="18">
        <f>L353/K353</f>
        <v/>
      </c>
      <c r="N353" s="17" t="n">
        <v>70</v>
      </c>
      <c r="O353" s="18" t="n">
        <v>0.4154</v>
      </c>
      <c r="P353" s="17" t="n">
        <v>3750000</v>
      </c>
      <c r="Q353" s="17" t="n">
        <v>14500000</v>
      </c>
      <c r="R353" s="17">
        <f>Q353-P353</f>
        <v/>
      </c>
      <c r="S353" s="18">
        <f>(Q353-P353)/P353</f>
        <v/>
      </c>
      <c r="T353" s="14">
        <f>IF(AND(K353&gt;=50000, S353&gt;=0.35), "Vượt KPI", IF(AND(K353&gt;=20000, S353&gt;=0), "Đạt KPI", "Chưa đạt KPI"))</f>
        <v/>
      </c>
    </row>
    <row r="354">
      <c r="A354" s="10" t="inlineStr">
        <is>
          <t>SP-0351</t>
        </is>
      </c>
      <c r="B354" s="11" t="n">
        <v>46175</v>
      </c>
      <c r="C354" s="10" t="inlineStr">
        <is>
          <t>Tháng 06/2026</t>
        </is>
      </c>
      <c r="D354" s="10" t="inlineStr">
        <is>
          <t>Quý 2</t>
        </is>
      </c>
      <c r="E354" s="5" t="inlineStr">
        <is>
          <t>Ban Thời sự - Chính trị</t>
        </is>
      </c>
      <c r="F354" s="5" t="inlineStr">
        <is>
          <t>Nhóm Quang Huy</t>
        </is>
      </c>
      <c r="G354" s="5" t="inlineStr">
        <is>
          <t>YouTube</t>
        </is>
      </c>
      <c r="H354" s="5" t="inlineStr">
        <is>
          <t>YouTube Long-form (10-25p)</t>
        </is>
      </c>
      <c r="I354" s="5" t="inlineStr">
        <is>
          <t>Giáo dục &amp; Tuyển sinh</t>
        </is>
      </c>
      <c r="J354" s="5" t="inlineStr">
        <is>
          <t>Hỗ trợ sâu (40%)</t>
        </is>
      </c>
      <c r="K354" s="12" t="n">
        <v>667559</v>
      </c>
      <c r="L354" s="12" t="n">
        <v>42389</v>
      </c>
      <c r="M354" s="13">
        <f>L354/K354</f>
        <v/>
      </c>
      <c r="N354" s="12" t="n">
        <v>207</v>
      </c>
      <c r="O354" s="13" t="n">
        <v>0.7329</v>
      </c>
      <c r="P354" s="12" t="n">
        <v>2900000</v>
      </c>
      <c r="Q354" s="12" t="n">
        <v>6050000</v>
      </c>
      <c r="R354" s="12">
        <f>Q354-P354</f>
        <v/>
      </c>
      <c r="S354" s="13">
        <f>(Q354-P354)/P354</f>
        <v/>
      </c>
      <c r="T354" s="10">
        <f>IF(AND(K354&gt;=50000, S354&gt;=0.35), "Vượt KPI", IF(AND(K354&gt;=20000, S354&gt;=0), "Đạt KPI", "Chưa đạt KPI"))</f>
        <v/>
      </c>
    </row>
    <row r="355">
      <c r="A355" s="14" t="inlineStr">
        <is>
          <t>SP-0352</t>
        </is>
      </c>
      <c r="B355" s="15" t="n">
        <v>46099</v>
      </c>
      <c r="C355" s="14" t="inlineStr">
        <is>
          <t>Tháng 03/2026</t>
        </is>
      </c>
      <c r="D355" s="14" t="inlineStr">
        <is>
          <t>Quý 1</t>
        </is>
      </c>
      <c r="E355" s="16" t="inlineStr">
        <is>
          <t>Ban Đời sống - Giới trẻ</t>
        </is>
      </c>
      <c r="F355" s="16" t="inlineStr">
        <is>
          <t>Nhóm Duy Khánh</t>
        </is>
      </c>
      <c r="G355" s="16" t="inlineStr">
        <is>
          <t>Báo Điện tử (Web)</t>
        </is>
      </c>
      <c r="H355" s="16" t="inlineStr">
        <is>
          <t>Tin bài Đa phương tiện</t>
        </is>
      </c>
      <c r="I355" s="16" t="inlineStr">
        <is>
          <t>Chính sách &amp; Pháp luật</t>
        </is>
      </c>
      <c r="J355" s="16" t="inlineStr">
        <is>
          <t>Cơ bản (15%)</t>
        </is>
      </c>
      <c r="K355" s="17" t="n">
        <v>72545</v>
      </c>
      <c r="L355" s="17" t="n">
        <v>6579</v>
      </c>
      <c r="M355" s="18">
        <f>L355/K355</f>
        <v/>
      </c>
      <c r="N355" s="17" t="n">
        <v>298</v>
      </c>
      <c r="O355" s="18" t="n">
        <v>0.5129</v>
      </c>
      <c r="P355" s="17" t="n">
        <v>3450000</v>
      </c>
      <c r="Q355" s="17" t="n">
        <v>6850000</v>
      </c>
      <c r="R355" s="17">
        <f>Q355-P355</f>
        <v/>
      </c>
      <c r="S355" s="18">
        <f>(Q355-P355)/P355</f>
        <v/>
      </c>
      <c r="T355" s="14">
        <f>IF(AND(K355&gt;=50000, S355&gt;=0.35), "Vượt KPI", IF(AND(K355&gt;=20000, S355&gt;=0), "Đạt KPI", "Chưa đạt KPI"))</f>
        <v/>
      </c>
    </row>
    <row r="356">
      <c r="A356" s="10" t="inlineStr">
        <is>
          <t>SP-0353</t>
        </is>
      </c>
      <c r="B356" s="11" t="n">
        <v>46023</v>
      </c>
      <c r="C356" s="10" t="inlineStr">
        <is>
          <t>Tháng 01/2026</t>
        </is>
      </c>
      <c r="D356" s="10" t="inlineStr">
        <is>
          <t>Quý 1</t>
        </is>
      </c>
      <c r="E356" s="5" t="inlineStr">
        <is>
          <t>Ban Kinh tế - Tài chính</t>
        </is>
      </c>
      <c r="F356" s="5" t="inlineStr">
        <is>
          <t>Nhóm Minh Tuấn</t>
        </is>
      </c>
      <c r="G356" s="5" t="inlineStr">
        <is>
          <t>Facebook Page</t>
        </is>
      </c>
      <c r="H356" s="5" t="inlineStr">
        <is>
          <t>Facebook Reels</t>
        </is>
      </c>
      <c r="I356" s="5" t="inlineStr">
        <is>
          <t>Chính sách &amp; Pháp luật</t>
        </is>
      </c>
      <c r="J356" s="5" t="inlineStr">
        <is>
          <t>Thủ công (0%)</t>
        </is>
      </c>
      <c r="K356" s="12" t="n">
        <v>44399</v>
      </c>
      <c r="L356" s="12" t="n">
        <v>1052</v>
      </c>
      <c r="M356" s="13">
        <f>L356/K356</f>
        <v/>
      </c>
      <c r="N356" s="12" t="n">
        <v>122</v>
      </c>
      <c r="O356" s="13" t="n">
        <v>0.6303</v>
      </c>
      <c r="P356" s="12" t="n">
        <v>4400000</v>
      </c>
      <c r="Q356" s="12" t="n">
        <v>3300000</v>
      </c>
      <c r="R356" s="12">
        <f>Q356-P356</f>
        <v/>
      </c>
      <c r="S356" s="13">
        <f>(Q356-P356)/P356</f>
        <v/>
      </c>
      <c r="T356" s="10">
        <f>IF(AND(K356&gt;=50000, S356&gt;=0.35), "Vượt KPI", IF(AND(K356&gt;=20000, S356&gt;=0), "Đạt KPI", "Chưa đạt KPI"))</f>
        <v/>
      </c>
    </row>
    <row r="357">
      <c r="A357" s="14" t="inlineStr">
        <is>
          <t>SP-0354</t>
        </is>
      </c>
      <c r="B357" s="15" t="n">
        <v>46080</v>
      </c>
      <c r="C357" s="14" t="inlineStr">
        <is>
          <t>Tháng 02/2026</t>
        </is>
      </c>
      <c r="D357" s="14" t="inlineStr">
        <is>
          <t>Quý 1</t>
        </is>
      </c>
      <c r="E357" s="16" t="inlineStr">
        <is>
          <t>Ban Video &amp; Truyền hình số</t>
        </is>
      </c>
      <c r="F357" s="16" t="inlineStr">
        <is>
          <t>Nhóm Đặng Minh</t>
        </is>
      </c>
      <c r="G357" s="16" t="inlineStr">
        <is>
          <t>Facebook Page</t>
        </is>
      </c>
      <c r="H357" s="16" t="inlineStr">
        <is>
          <t>Facebook Reels</t>
        </is>
      </c>
      <c r="I357" s="16" t="inlineStr">
        <is>
          <t>Tài chính Cá nhân &amp; Đầu tư</t>
        </is>
      </c>
      <c r="J357" s="16" t="inlineStr">
        <is>
          <t>Cơ bản (15%)</t>
        </is>
      </c>
      <c r="K357" s="17" t="n">
        <v>120892</v>
      </c>
      <c r="L357" s="17" t="n">
        <v>5959</v>
      </c>
      <c r="M357" s="18">
        <f>L357/K357</f>
        <v/>
      </c>
      <c r="N357" s="17" t="n">
        <v>157</v>
      </c>
      <c r="O357" s="18" t="n">
        <v>0.618</v>
      </c>
      <c r="P357" s="17" t="n">
        <v>3950000</v>
      </c>
      <c r="Q357" s="17" t="n">
        <v>20950000</v>
      </c>
      <c r="R357" s="17">
        <f>Q357-P357</f>
        <v/>
      </c>
      <c r="S357" s="18">
        <f>(Q357-P357)/P357</f>
        <v/>
      </c>
      <c r="T357" s="14">
        <f>IF(AND(K357&gt;=50000, S357&gt;=0.35), "Vượt KPI", IF(AND(K357&gt;=20000, S357&gt;=0), "Đạt KPI", "Chưa đạt KPI"))</f>
        <v/>
      </c>
    </row>
    <row r="358">
      <c r="A358" s="10" t="inlineStr">
        <is>
          <t>SP-0355</t>
        </is>
      </c>
      <c r="B358" s="11" t="n">
        <v>46089</v>
      </c>
      <c r="C358" s="10" t="inlineStr">
        <is>
          <t>Tháng 03/2026</t>
        </is>
      </c>
      <c r="D358" s="10" t="inlineStr">
        <is>
          <t>Quý 1</t>
        </is>
      </c>
      <c r="E358" s="5" t="inlineStr">
        <is>
          <t>Ban Đời sống - Giới trẻ</t>
        </is>
      </c>
      <c r="F358" s="5" t="inlineStr">
        <is>
          <t>Nhóm Duy Khánh</t>
        </is>
      </c>
      <c r="G358" s="5" t="inlineStr">
        <is>
          <t>YouTube</t>
        </is>
      </c>
      <c r="H358" s="5" t="inlineStr">
        <is>
          <t>YouTube Long-form (10-25p)</t>
        </is>
      </c>
      <c r="I358" s="5" t="inlineStr">
        <is>
          <t>Công nghệ &amp; AI</t>
        </is>
      </c>
      <c r="J358" s="5" t="inlineStr">
        <is>
          <t>Hỗ trợ sâu (40%)</t>
        </is>
      </c>
      <c r="K358" s="12" t="n">
        <v>370382</v>
      </c>
      <c r="L358" s="12" t="n">
        <v>20408</v>
      </c>
      <c r="M358" s="13">
        <f>L358/K358</f>
        <v/>
      </c>
      <c r="N358" s="12" t="n">
        <v>317</v>
      </c>
      <c r="O358" s="13" t="n">
        <v>0.7101</v>
      </c>
      <c r="P358" s="12" t="n">
        <v>2200000</v>
      </c>
      <c r="Q358" s="12" t="n">
        <v>7400000</v>
      </c>
      <c r="R358" s="12">
        <f>Q358-P358</f>
        <v/>
      </c>
      <c r="S358" s="13">
        <f>(Q358-P358)/P358</f>
        <v/>
      </c>
      <c r="T358" s="10">
        <f>IF(AND(K358&gt;=50000, S358&gt;=0.35), "Vượt KPI", IF(AND(K358&gt;=20000, S358&gt;=0), "Đạt KPI", "Chưa đạt KPI"))</f>
        <v/>
      </c>
    </row>
    <row r="359">
      <c r="A359" s="14" t="inlineStr">
        <is>
          <t>SP-0356</t>
        </is>
      </c>
      <c r="B359" s="15" t="n">
        <v>46050</v>
      </c>
      <c r="C359" s="14" t="inlineStr">
        <is>
          <t>Tháng 01/2026</t>
        </is>
      </c>
      <c r="D359" s="14" t="inlineStr">
        <is>
          <t>Quý 1</t>
        </is>
      </c>
      <c r="E359" s="16" t="inlineStr">
        <is>
          <t>Ban Phóng sự - Điều tra</t>
        </is>
      </c>
      <c r="F359" s="16" t="inlineStr">
        <is>
          <t>Nhóm Khánh Linh</t>
        </is>
      </c>
      <c r="G359" s="16" t="inlineStr">
        <is>
          <t>TikTok</t>
        </is>
      </c>
      <c r="H359" s="16" t="inlineStr">
        <is>
          <t>Short Video (&lt;60s)</t>
        </is>
      </c>
      <c r="I359" s="16" t="inlineStr">
        <is>
          <t>Đời sống - Xã hội</t>
        </is>
      </c>
      <c r="J359" s="16" t="inlineStr">
        <is>
          <t>Toàn trình (70%)</t>
        </is>
      </c>
      <c r="K359" s="17" t="n">
        <v>428416</v>
      </c>
      <c r="L359" s="17" t="n">
        <v>29946</v>
      </c>
      <c r="M359" s="18">
        <f>L359/K359</f>
        <v/>
      </c>
      <c r="N359" s="17" t="n">
        <v>32</v>
      </c>
      <c r="O359" s="18" t="n">
        <v>0.5148</v>
      </c>
      <c r="P359" s="17" t="n">
        <v>700000</v>
      </c>
      <c r="Q359" s="17" t="n">
        <v>2200000</v>
      </c>
      <c r="R359" s="17">
        <f>Q359-P359</f>
        <v/>
      </c>
      <c r="S359" s="18">
        <f>(Q359-P359)/P359</f>
        <v/>
      </c>
      <c r="T359" s="14">
        <f>IF(AND(K359&gt;=50000, S359&gt;=0.35), "Vượt KPI", IF(AND(K359&gt;=20000, S359&gt;=0), "Đạt KPI", "Chưa đạt KPI"))</f>
        <v/>
      </c>
    </row>
    <row r="360">
      <c r="A360" s="10" t="inlineStr">
        <is>
          <t>SP-0357</t>
        </is>
      </c>
      <c r="B360" s="11" t="n">
        <v>46154</v>
      </c>
      <c r="C360" s="10" t="inlineStr">
        <is>
          <t>Tháng 05/2026</t>
        </is>
      </c>
      <c r="D360" s="10" t="inlineStr">
        <is>
          <t>Quý 2</t>
        </is>
      </c>
      <c r="E360" s="5" t="inlineStr">
        <is>
          <t>Ban Công nghệ &amp; AI</t>
        </is>
      </c>
      <c r="F360" s="5" t="inlineStr">
        <is>
          <t>Nhóm Tuấn Kiệt</t>
        </is>
      </c>
      <c r="G360" s="5" t="inlineStr">
        <is>
          <t>TikTok</t>
        </is>
      </c>
      <c r="H360" s="5" t="inlineStr">
        <is>
          <t>TikTok Reel (1-3p)</t>
        </is>
      </c>
      <c r="I360" s="5" t="inlineStr">
        <is>
          <t>Giáo dục &amp; Tuyển sinh</t>
        </is>
      </c>
      <c r="J360" s="5" t="inlineStr">
        <is>
          <t>Toàn trình (70%)</t>
        </is>
      </c>
      <c r="K360" s="12" t="n">
        <v>999075</v>
      </c>
      <c r="L360" s="12" t="n">
        <v>98608</v>
      </c>
      <c r="M360" s="13">
        <f>L360/K360</f>
        <v/>
      </c>
      <c r="N360" s="12" t="n">
        <v>46</v>
      </c>
      <c r="O360" s="13" t="n">
        <v>0.6002999999999999</v>
      </c>
      <c r="P360" s="12" t="n">
        <v>1750000</v>
      </c>
      <c r="Q360" s="12" t="n">
        <v>2200000</v>
      </c>
      <c r="R360" s="12">
        <f>Q360-P360</f>
        <v/>
      </c>
      <c r="S360" s="13">
        <f>(Q360-P360)/P360</f>
        <v/>
      </c>
      <c r="T360" s="10">
        <f>IF(AND(K360&gt;=50000, S360&gt;=0.35), "Vượt KPI", IF(AND(K360&gt;=20000, S360&gt;=0), "Đạt KPI", "Chưa đạt KPI"))</f>
        <v/>
      </c>
    </row>
    <row r="361">
      <c r="A361" s="14" t="inlineStr">
        <is>
          <t>SP-0358</t>
        </is>
      </c>
      <c r="B361" s="15" t="n">
        <v>46150</v>
      </c>
      <c r="C361" s="14" t="inlineStr">
        <is>
          <t>Tháng 05/2026</t>
        </is>
      </c>
      <c r="D361" s="14" t="inlineStr">
        <is>
          <t>Quý 2</t>
        </is>
      </c>
      <c r="E361" s="16" t="inlineStr">
        <is>
          <t>Ban Thời sự - Chính trị</t>
        </is>
      </c>
      <c r="F361" s="16" t="inlineStr">
        <is>
          <t>Nhóm Quang Huy</t>
        </is>
      </c>
      <c r="G361" s="16" t="inlineStr">
        <is>
          <t>TikTok</t>
        </is>
      </c>
      <c r="H361" s="16" t="inlineStr">
        <is>
          <t>TikTok Reel (1-3p)</t>
        </is>
      </c>
      <c r="I361" s="16" t="inlineStr">
        <is>
          <t>Phóng sự Điều tra</t>
        </is>
      </c>
      <c r="J361" s="16" t="inlineStr">
        <is>
          <t>Hỗ trợ sâu (40%)</t>
        </is>
      </c>
      <c r="K361" s="17" t="n">
        <v>230559</v>
      </c>
      <c r="L361" s="17" t="n">
        <v>25130</v>
      </c>
      <c r="M361" s="18">
        <f>L361/K361</f>
        <v/>
      </c>
      <c r="N361" s="17" t="n">
        <v>53</v>
      </c>
      <c r="O361" s="18" t="n">
        <v>0.6926</v>
      </c>
      <c r="P361" s="17" t="n">
        <v>1100000</v>
      </c>
      <c r="Q361" s="17" t="n">
        <v>2800000</v>
      </c>
      <c r="R361" s="17">
        <f>Q361-P361</f>
        <v/>
      </c>
      <c r="S361" s="18">
        <f>(Q361-P361)/P361</f>
        <v/>
      </c>
      <c r="T361" s="14">
        <f>IF(AND(K361&gt;=50000, S361&gt;=0.35), "Vượt KPI", IF(AND(K361&gt;=20000, S361&gt;=0), "Đạt KPI", "Chưa đạt KPI"))</f>
        <v/>
      </c>
    </row>
    <row r="362">
      <c r="A362" s="10" t="inlineStr">
        <is>
          <t>SP-0359</t>
        </is>
      </c>
      <c r="B362" s="11" t="n">
        <v>46165</v>
      </c>
      <c r="C362" s="10" t="inlineStr">
        <is>
          <t>Tháng 05/2026</t>
        </is>
      </c>
      <c r="D362" s="10" t="inlineStr">
        <is>
          <t>Quý 2</t>
        </is>
      </c>
      <c r="E362" s="5" t="inlineStr">
        <is>
          <t>Ban Đời sống - Giới trẻ</t>
        </is>
      </c>
      <c r="F362" s="5" t="inlineStr">
        <is>
          <t>Nhóm Duy Khánh</t>
        </is>
      </c>
      <c r="G362" s="5" t="inlineStr">
        <is>
          <t>Báo Điện tử (Web)</t>
        </is>
      </c>
      <c r="H362" s="5" t="inlineStr">
        <is>
          <t>Longform / E-magazine</t>
        </is>
      </c>
      <c r="I362" s="5" t="inlineStr">
        <is>
          <t>Công nghệ &amp; AI</t>
        </is>
      </c>
      <c r="J362" s="5" t="inlineStr">
        <is>
          <t>Toàn trình (70%)</t>
        </is>
      </c>
      <c r="K362" s="12" t="n">
        <v>358458</v>
      </c>
      <c r="L362" s="12" t="n">
        <v>12044</v>
      </c>
      <c r="M362" s="13">
        <f>L362/K362</f>
        <v/>
      </c>
      <c r="N362" s="12" t="n">
        <v>109</v>
      </c>
      <c r="O362" s="13" t="n">
        <v>0.7649</v>
      </c>
      <c r="P362" s="12" t="n">
        <v>3000000</v>
      </c>
      <c r="Q362" s="12" t="n">
        <v>7600000</v>
      </c>
      <c r="R362" s="12">
        <f>Q362-P362</f>
        <v/>
      </c>
      <c r="S362" s="13">
        <f>(Q362-P362)/P362</f>
        <v/>
      </c>
      <c r="T362" s="10">
        <f>IF(AND(K362&gt;=50000, S362&gt;=0.35), "Vượt KPI", IF(AND(K362&gt;=20000, S362&gt;=0), "Đạt KPI", "Chưa đạt KPI"))</f>
        <v/>
      </c>
    </row>
    <row r="363">
      <c r="A363" s="14" t="inlineStr">
        <is>
          <t>SP-0360</t>
        </is>
      </c>
      <c r="B363" s="15" t="n">
        <v>46084</v>
      </c>
      <c r="C363" s="14" t="inlineStr">
        <is>
          <t>Tháng 03/2026</t>
        </is>
      </c>
      <c r="D363" s="14" t="inlineStr">
        <is>
          <t>Quý 1</t>
        </is>
      </c>
      <c r="E363" s="16" t="inlineStr">
        <is>
          <t>Ban Kinh tế - Tài chính</t>
        </is>
      </c>
      <c r="F363" s="16" t="inlineStr">
        <is>
          <t>Nhóm Đức Thịnh</t>
        </is>
      </c>
      <c r="G363" s="16" t="inlineStr">
        <is>
          <t>TikTok</t>
        </is>
      </c>
      <c r="H363" s="16" t="inlineStr">
        <is>
          <t>Short Video (&lt;60s)</t>
        </is>
      </c>
      <c r="I363" s="16" t="inlineStr">
        <is>
          <t>Chính sách &amp; Pháp luật</t>
        </is>
      </c>
      <c r="J363" s="16" t="inlineStr">
        <is>
          <t>Toàn trình (70%)</t>
        </is>
      </c>
      <c r="K363" s="17" t="n">
        <v>48288</v>
      </c>
      <c r="L363" s="17" t="n">
        <v>3273</v>
      </c>
      <c r="M363" s="18">
        <f>L363/K363</f>
        <v/>
      </c>
      <c r="N363" s="17" t="n">
        <v>44</v>
      </c>
      <c r="O363" s="18" t="n">
        <v>0.5</v>
      </c>
      <c r="P363" s="17" t="n">
        <v>1250000</v>
      </c>
      <c r="Q363" s="17" t="n">
        <v>2550000</v>
      </c>
      <c r="R363" s="17">
        <f>Q363-P363</f>
        <v/>
      </c>
      <c r="S363" s="18">
        <f>(Q363-P363)/P363</f>
        <v/>
      </c>
      <c r="T363" s="14">
        <f>IF(AND(K363&gt;=50000, S363&gt;=0.35), "Vượt KPI", IF(AND(K363&gt;=20000, S363&gt;=0), "Đạt KPI", "Chưa đạt KPI"))</f>
        <v/>
      </c>
    </row>
    <row r="364">
      <c r="A364" s="10" t="inlineStr">
        <is>
          <t>SP-0361</t>
        </is>
      </c>
      <c r="B364" s="11" t="n">
        <v>46090</v>
      </c>
      <c r="C364" s="10" t="inlineStr">
        <is>
          <t>Tháng 03/2026</t>
        </is>
      </c>
      <c r="D364" s="10" t="inlineStr">
        <is>
          <t>Quý 1</t>
        </is>
      </c>
      <c r="E364" s="5" t="inlineStr">
        <is>
          <t>Ban Video &amp; Truyền hình số</t>
        </is>
      </c>
      <c r="F364" s="5" t="inlineStr">
        <is>
          <t>Nhóm Quốc Bảo</t>
        </is>
      </c>
      <c r="G364" s="5" t="inlineStr">
        <is>
          <t>YouTube</t>
        </is>
      </c>
      <c r="H364" s="5" t="inlineStr">
        <is>
          <t>YouTube Documentary (&gt;25p)</t>
        </is>
      </c>
      <c r="I364" s="5" t="inlineStr">
        <is>
          <t>Phóng sự Điều tra</t>
        </is>
      </c>
      <c r="J364" s="5" t="inlineStr">
        <is>
          <t>Cơ bản (15%)</t>
        </is>
      </c>
      <c r="K364" s="12" t="n">
        <v>1171690</v>
      </c>
      <c r="L364" s="12" t="n">
        <v>77565</v>
      </c>
      <c r="M364" s="13">
        <f>L364/K364</f>
        <v/>
      </c>
      <c r="N364" s="12" t="n">
        <v>207</v>
      </c>
      <c r="O364" s="13" t="n">
        <v>0.6647999999999999</v>
      </c>
      <c r="P364" s="12" t="n">
        <v>7750000</v>
      </c>
      <c r="Q364" s="12" t="n">
        <v>32950000</v>
      </c>
      <c r="R364" s="12">
        <f>Q364-P364</f>
        <v/>
      </c>
      <c r="S364" s="13">
        <f>(Q364-P364)/P364</f>
        <v/>
      </c>
      <c r="T364" s="10">
        <f>IF(AND(K364&gt;=50000, S364&gt;=0.35), "Vượt KPI", IF(AND(K364&gt;=20000, S364&gt;=0), "Đạt KPI", "Chưa đạt KPI"))</f>
        <v/>
      </c>
    </row>
    <row r="365">
      <c r="A365" s="14" t="inlineStr">
        <is>
          <t>SP-0362</t>
        </is>
      </c>
      <c r="B365" s="15" t="n">
        <v>46188</v>
      </c>
      <c r="C365" s="14" t="inlineStr">
        <is>
          <t>Tháng 06/2026</t>
        </is>
      </c>
      <c r="D365" s="14" t="inlineStr">
        <is>
          <t>Quý 2</t>
        </is>
      </c>
      <c r="E365" s="16" t="inlineStr">
        <is>
          <t>Ban Kinh tế - Tài chính</t>
        </is>
      </c>
      <c r="F365" s="16" t="inlineStr">
        <is>
          <t>Nhóm Đức Thịnh</t>
        </is>
      </c>
      <c r="G365" s="16" t="inlineStr">
        <is>
          <t>TikTok</t>
        </is>
      </c>
      <c r="H365" s="16" t="inlineStr">
        <is>
          <t>Short Video (&lt;60s)</t>
        </is>
      </c>
      <c r="I365" s="16" t="inlineStr">
        <is>
          <t>Chính sách &amp; Pháp luật</t>
        </is>
      </c>
      <c r="J365" s="16" t="inlineStr">
        <is>
          <t>Thủ công (0%)</t>
        </is>
      </c>
      <c r="K365" s="17" t="n">
        <v>1805983</v>
      </c>
      <c r="L365" s="17" t="n">
        <v>99329</v>
      </c>
      <c r="M365" s="18">
        <f>L365/K365</f>
        <v/>
      </c>
      <c r="N365" s="17" t="n">
        <v>84</v>
      </c>
      <c r="O365" s="18" t="n">
        <v>0.6724</v>
      </c>
      <c r="P365" s="17" t="n">
        <v>3600000</v>
      </c>
      <c r="Q365" s="17" t="n">
        <v>18500000</v>
      </c>
      <c r="R365" s="17">
        <f>Q365-P365</f>
        <v/>
      </c>
      <c r="S365" s="18">
        <f>(Q365-P365)/P365</f>
        <v/>
      </c>
      <c r="T365" s="14">
        <f>IF(AND(K365&gt;=50000, S365&gt;=0.35), "Vượt KPI", IF(AND(K365&gt;=20000, S365&gt;=0), "Đạt KPI", "Chưa đạt KPI"))</f>
        <v/>
      </c>
    </row>
    <row r="366">
      <c r="A366" s="10" t="inlineStr">
        <is>
          <t>SP-0363</t>
        </is>
      </c>
      <c r="B366" s="11" t="n">
        <v>46049</v>
      </c>
      <c r="C366" s="10" t="inlineStr">
        <is>
          <t>Tháng 01/2026</t>
        </is>
      </c>
      <c r="D366" s="10" t="inlineStr">
        <is>
          <t>Quý 1</t>
        </is>
      </c>
      <c r="E366" s="5" t="inlineStr">
        <is>
          <t>Ban Video &amp; Truyền hình số</t>
        </is>
      </c>
      <c r="F366" s="5" t="inlineStr">
        <is>
          <t>Nhóm Đặng Minh</t>
        </is>
      </c>
      <c r="G366" s="5" t="inlineStr">
        <is>
          <t>TikTok</t>
        </is>
      </c>
      <c r="H366" s="5" t="inlineStr">
        <is>
          <t>TikTok Reel (1-3p)</t>
        </is>
      </c>
      <c r="I366" s="5" t="inlineStr">
        <is>
          <t>Phóng sự Điều tra</t>
        </is>
      </c>
      <c r="J366" s="5" t="inlineStr">
        <is>
          <t>Toàn trình (70%)</t>
        </is>
      </c>
      <c r="K366" s="12" t="n">
        <v>614767</v>
      </c>
      <c r="L366" s="12" t="n">
        <v>60493</v>
      </c>
      <c r="M366" s="13">
        <f>L366/K366</f>
        <v/>
      </c>
      <c r="N366" s="12" t="n">
        <v>51</v>
      </c>
      <c r="O366" s="13" t="n">
        <v>0.5331</v>
      </c>
      <c r="P366" s="12" t="n">
        <v>3050000</v>
      </c>
      <c r="Q366" s="12" t="n">
        <v>5800000</v>
      </c>
      <c r="R366" s="12">
        <f>Q366-P366</f>
        <v/>
      </c>
      <c r="S366" s="13">
        <f>(Q366-P366)/P366</f>
        <v/>
      </c>
      <c r="T366" s="10">
        <f>IF(AND(K366&gt;=50000, S366&gt;=0.35), "Vượt KPI", IF(AND(K366&gt;=20000, S366&gt;=0), "Đạt KPI", "Chưa đạt KPI"))</f>
        <v/>
      </c>
    </row>
    <row r="367">
      <c r="A367" s="14" t="inlineStr">
        <is>
          <t>SP-0364</t>
        </is>
      </c>
      <c r="B367" s="15" t="n">
        <v>46140</v>
      </c>
      <c r="C367" s="14" t="inlineStr">
        <is>
          <t>Tháng 04/2026</t>
        </is>
      </c>
      <c r="D367" s="14" t="inlineStr">
        <is>
          <t>Quý 2</t>
        </is>
      </c>
      <c r="E367" s="16" t="inlineStr">
        <is>
          <t>Ban Công nghệ &amp; AI</t>
        </is>
      </c>
      <c r="F367" s="16" t="inlineStr">
        <is>
          <t>Nhóm Ngọc Ánh</t>
        </is>
      </c>
      <c r="G367" s="16" t="inlineStr">
        <is>
          <t>Facebook Page</t>
        </is>
      </c>
      <c r="H367" s="16" t="inlineStr">
        <is>
          <t>Facebook Reels</t>
        </is>
      </c>
      <c r="I367" s="16" t="inlineStr">
        <is>
          <t>Kinh tế - Thị trường</t>
        </is>
      </c>
      <c r="J367" s="16" t="inlineStr">
        <is>
          <t>Hỗ trợ sâu (40%)</t>
        </is>
      </c>
      <c r="K367" s="17" t="n">
        <v>376292</v>
      </c>
      <c r="L367" s="17" t="n">
        <v>29614</v>
      </c>
      <c r="M367" s="18">
        <f>L367/K367</f>
        <v/>
      </c>
      <c r="N367" s="17" t="n">
        <v>79</v>
      </c>
      <c r="O367" s="18" t="n">
        <v>0.7598</v>
      </c>
      <c r="P367" s="17" t="n">
        <v>1850000</v>
      </c>
      <c r="Q367" s="17" t="n">
        <v>6650000</v>
      </c>
      <c r="R367" s="17">
        <f>Q367-P367</f>
        <v/>
      </c>
      <c r="S367" s="18">
        <f>(Q367-P367)/P367</f>
        <v/>
      </c>
      <c r="T367" s="14">
        <f>IF(AND(K367&gt;=50000, S367&gt;=0.35), "Vượt KPI", IF(AND(K367&gt;=20000, S367&gt;=0), "Đạt KPI", "Chưa đạt KPI"))</f>
        <v/>
      </c>
    </row>
    <row r="368">
      <c r="A368" s="10" t="inlineStr">
        <is>
          <t>SP-0365</t>
        </is>
      </c>
      <c r="B368" s="11" t="n">
        <v>46147</v>
      </c>
      <c r="C368" s="10" t="inlineStr">
        <is>
          <t>Tháng 05/2026</t>
        </is>
      </c>
      <c r="D368" s="10" t="inlineStr">
        <is>
          <t>Quý 2</t>
        </is>
      </c>
      <c r="E368" s="5" t="inlineStr">
        <is>
          <t>Ban Video &amp; Truyền hình số</t>
        </is>
      </c>
      <c r="F368" s="5" t="inlineStr">
        <is>
          <t>Nhóm Quốc Bảo</t>
        </is>
      </c>
      <c r="G368" s="5" t="inlineStr">
        <is>
          <t>YouTube</t>
        </is>
      </c>
      <c r="H368" s="5" t="inlineStr">
        <is>
          <t>YouTube Long-form (10-25p)</t>
        </is>
      </c>
      <c r="I368" s="5" t="inlineStr">
        <is>
          <t>Giáo dục &amp; Tuyển sinh</t>
        </is>
      </c>
      <c r="J368" s="5" t="inlineStr">
        <is>
          <t>Cơ bản (15%)</t>
        </is>
      </c>
      <c r="K368" s="12" t="n">
        <v>222453</v>
      </c>
      <c r="L368" s="12" t="n">
        <v>13391</v>
      </c>
      <c r="M368" s="13">
        <f>L368/K368</f>
        <v/>
      </c>
      <c r="N368" s="12" t="n">
        <v>397</v>
      </c>
      <c r="O368" s="13" t="n">
        <v>0.4984</v>
      </c>
      <c r="P368" s="12" t="n">
        <v>11150000</v>
      </c>
      <c r="Q368" s="12" t="n">
        <v>17250000</v>
      </c>
      <c r="R368" s="12">
        <f>Q368-P368</f>
        <v/>
      </c>
      <c r="S368" s="13">
        <f>(Q368-P368)/P368</f>
        <v/>
      </c>
      <c r="T368" s="10">
        <f>IF(AND(K368&gt;=50000, S368&gt;=0.35), "Vượt KPI", IF(AND(K368&gt;=20000, S368&gt;=0), "Đạt KPI", "Chưa đạt KPI"))</f>
        <v/>
      </c>
    </row>
    <row r="369">
      <c r="A369" s="14" t="inlineStr">
        <is>
          <t>SP-0366</t>
        </is>
      </c>
      <c r="B369" s="15" t="n">
        <v>46116</v>
      </c>
      <c r="C369" s="14" t="inlineStr">
        <is>
          <t>Tháng 04/2026</t>
        </is>
      </c>
      <c r="D369" s="14" t="inlineStr">
        <is>
          <t>Quý 2</t>
        </is>
      </c>
      <c r="E369" s="16" t="inlineStr">
        <is>
          <t>Ban Phóng sự - Điều tra</t>
        </is>
      </c>
      <c r="F369" s="16" t="inlineStr">
        <is>
          <t>Nhóm Hải Đăng</t>
        </is>
      </c>
      <c r="G369" s="16" t="inlineStr">
        <is>
          <t>Podcast / Audio</t>
        </is>
      </c>
      <c r="H369" s="16" t="inlineStr">
        <is>
          <t>Điểm tin Audio AI (5p)</t>
        </is>
      </c>
      <c r="I369" s="16" t="inlineStr">
        <is>
          <t>Đời sống - Xã hội</t>
        </is>
      </c>
      <c r="J369" s="16" t="inlineStr">
        <is>
          <t>Hỗ trợ sâu (40%)</t>
        </is>
      </c>
      <c r="K369" s="17" t="n">
        <v>8372</v>
      </c>
      <c r="L369" s="17" t="n">
        <v>710</v>
      </c>
      <c r="M369" s="18">
        <f>L369/K369</f>
        <v/>
      </c>
      <c r="N369" s="17" t="n">
        <v>577</v>
      </c>
      <c r="O369" s="18" t="n">
        <v>0.6297</v>
      </c>
      <c r="P369" s="17" t="n">
        <v>600000</v>
      </c>
      <c r="Q369" s="17" t="n">
        <v>900000</v>
      </c>
      <c r="R369" s="17">
        <f>Q369-P369</f>
        <v/>
      </c>
      <c r="S369" s="18">
        <f>(Q369-P369)/P369</f>
        <v/>
      </c>
      <c r="T369" s="14">
        <f>IF(AND(K369&gt;=50000, S369&gt;=0.35), "Vượt KPI", IF(AND(K369&gt;=20000, S369&gt;=0), "Đạt KPI", "Chưa đạt KPI"))</f>
        <v/>
      </c>
    </row>
    <row r="370">
      <c r="A370" s="10" t="inlineStr">
        <is>
          <t>SP-0367</t>
        </is>
      </c>
      <c r="B370" s="11" t="n">
        <v>46097</v>
      </c>
      <c r="C370" s="10" t="inlineStr">
        <is>
          <t>Tháng 03/2026</t>
        </is>
      </c>
      <c r="D370" s="10" t="inlineStr">
        <is>
          <t>Quý 1</t>
        </is>
      </c>
      <c r="E370" s="5" t="inlineStr">
        <is>
          <t>Ban Công nghệ &amp; AI</t>
        </is>
      </c>
      <c r="F370" s="5" t="inlineStr">
        <is>
          <t>Nhóm Ngọc Ánh</t>
        </is>
      </c>
      <c r="G370" s="5" t="inlineStr">
        <is>
          <t>TikTok</t>
        </is>
      </c>
      <c r="H370" s="5" t="inlineStr">
        <is>
          <t>Short Video (&lt;60s)</t>
        </is>
      </c>
      <c r="I370" s="5" t="inlineStr">
        <is>
          <t>Công nghệ &amp; AI</t>
        </is>
      </c>
      <c r="J370" s="5" t="inlineStr">
        <is>
          <t>Thủ công (0%)</t>
        </is>
      </c>
      <c r="K370" s="12" t="n">
        <v>173421</v>
      </c>
      <c r="L370" s="12" t="n">
        <v>11029</v>
      </c>
      <c r="M370" s="13">
        <f>L370/K370</f>
        <v/>
      </c>
      <c r="N370" s="12" t="n">
        <v>81</v>
      </c>
      <c r="O370" s="13" t="n">
        <v>0.605</v>
      </c>
      <c r="P370" s="12" t="n">
        <v>3950000</v>
      </c>
      <c r="Q370" s="12" t="n">
        <v>5700000</v>
      </c>
      <c r="R370" s="12">
        <f>Q370-P370</f>
        <v/>
      </c>
      <c r="S370" s="13">
        <f>(Q370-P370)/P370</f>
        <v/>
      </c>
      <c r="T370" s="10">
        <f>IF(AND(K370&gt;=50000, S370&gt;=0.35), "Vượt KPI", IF(AND(K370&gt;=20000, S370&gt;=0), "Đạt KPI", "Chưa đạt KPI"))</f>
        <v/>
      </c>
    </row>
    <row r="371">
      <c r="A371" s="14" t="inlineStr">
        <is>
          <t>SP-0368</t>
        </is>
      </c>
      <c r="B371" s="15" t="n">
        <v>46070</v>
      </c>
      <c r="C371" s="14" t="inlineStr">
        <is>
          <t>Tháng 02/2026</t>
        </is>
      </c>
      <c r="D371" s="14" t="inlineStr">
        <is>
          <t>Quý 1</t>
        </is>
      </c>
      <c r="E371" s="16" t="inlineStr">
        <is>
          <t>Ban Đời sống - Giới trẻ</t>
        </is>
      </c>
      <c r="F371" s="16" t="inlineStr">
        <is>
          <t>Nhóm Phương Thảo</t>
        </is>
      </c>
      <c r="G371" s="16" t="inlineStr">
        <is>
          <t>Podcast / Audio</t>
        </is>
      </c>
      <c r="H371" s="16" t="inlineStr">
        <is>
          <t>Podcast Chuyên sâu (20p)</t>
        </is>
      </c>
      <c r="I371" s="16" t="inlineStr">
        <is>
          <t>Kinh tế - Thị trường</t>
        </is>
      </c>
      <c r="J371" s="16" t="inlineStr">
        <is>
          <t>Thủ công (0%)</t>
        </is>
      </c>
      <c r="K371" s="17" t="n">
        <v>14163</v>
      </c>
      <c r="L371" s="17" t="n">
        <v>808</v>
      </c>
      <c r="M371" s="18">
        <f>L371/K371</f>
        <v/>
      </c>
      <c r="N371" s="17" t="n">
        <v>665</v>
      </c>
      <c r="O371" s="18" t="n">
        <v>0.5659999999999999</v>
      </c>
      <c r="P371" s="17" t="n">
        <v>1450000</v>
      </c>
      <c r="Q371" s="17" t="n">
        <v>1800000</v>
      </c>
      <c r="R371" s="17">
        <f>Q371-P371</f>
        <v/>
      </c>
      <c r="S371" s="18">
        <f>(Q371-P371)/P371</f>
        <v/>
      </c>
      <c r="T371" s="14">
        <f>IF(AND(K371&gt;=50000, S371&gt;=0.35), "Vượt KPI", IF(AND(K371&gt;=20000, S371&gt;=0), "Đạt KPI", "Chưa đạt KPI"))</f>
        <v/>
      </c>
    </row>
    <row r="372">
      <c r="A372" s="10" t="inlineStr">
        <is>
          <t>SP-0369</t>
        </is>
      </c>
      <c r="B372" s="11" t="n">
        <v>46100</v>
      </c>
      <c r="C372" s="10" t="inlineStr">
        <is>
          <t>Tháng 03/2026</t>
        </is>
      </c>
      <c r="D372" s="10" t="inlineStr">
        <is>
          <t>Quý 1</t>
        </is>
      </c>
      <c r="E372" s="5" t="inlineStr">
        <is>
          <t>Ban Công nghệ &amp; AI</t>
        </is>
      </c>
      <c r="F372" s="5" t="inlineStr">
        <is>
          <t>Nhóm Ngọc Ánh</t>
        </is>
      </c>
      <c r="G372" s="5" t="inlineStr">
        <is>
          <t>Báo Điện tử (Web)</t>
        </is>
      </c>
      <c r="H372" s="5" t="inlineStr">
        <is>
          <t>Longform / E-magazine</t>
        </is>
      </c>
      <c r="I372" s="5" t="inlineStr">
        <is>
          <t>Công nghệ &amp; AI</t>
        </is>
      </c>
      <c r="J372" s="5" t="inlineStr">
        <is>
          <t>Hỗ trợ sâu (40%)</t>
        </is>
      </c>
      <c r="K372" s="12" t="n">
        <v>116382</v>
      </c>
      <c r="L372" s="12" t="n">
        <v>10532</v>
      </c>
      <c r="M372" s="13">
        <f>L372/K372</f>
        <v/>
      </c>
      <c r="N372" s="12" t="n">
        <v>270</v>
      </c>
      <c r="O372" s="13" t="n">
        <v>0.3976</v>
      </c>
      <c r="P372" s="12" t="n">
        <v>4700000</v>
      </c>
      <c r="Q372" s="12" t="n">
        <v>3050000</v>
      </c>
      <c r="R372" s="12">
        <f>Q372-P372</f>
        <v/>
      </c>
      <c r="S372" s="13">
        <f>(Q372-P372)/P372</f>
        <v/>
      </c>
      <c r="T372" s="10">
        <f>IF(AND(K372&gt;=50000, S372&gt;=0.35), "Vượt KPI", IF(AND(K372&gt;=20000, S372&gt;=0), "Đạt KPI", "Chưa đạt KPI"))</f>
        <v/>
      </c>
    </row>
    <row r="373">
      <c r="A373" s="14" t="inlineStr">
        <is>
          <t>SP-0370</t>
        </is>
      </c>
      <c r="B373" s="15" t="n">
        <v>46029</v>
      </c>
      <c r="C373" s="14" t="inlineStr">
        <is>
          <t>Tháng 01/2026</t>
        </is>
      </c>
      <c r="D373" s="14" t="inlineStr">
        <is>
          <t>Quý 1</t>
        </is>
      </c>
      <c r="E373" s="16" t="inlineStr">
        <is>
          <t>Ban Đời sống - Giới trẻ</t>
        </is>
      </c>
      <c r="F373" s="16" t="inlineStr">
        <is>
          <t>Nhóm Duy Khánh</t>
        </is>
      </c>
      <c r="G373" s="16" t="inlineStr">
        <is>
          <t>TikTok</t>
        </is>
      </c>
      <c r="H373" s="16" t="inlineStr">
        <is>
          <t>Short Video (&lt;60s)</t>
        </is>
      </c>
      <c r="I373" s="16" t="inlineStr">
        <is>
          <t>Chính sách &amp; Pháp luật</t>
        </is>
      </c>
      <c r="J373" s="16" t="inlineStr">
        <is>
          <t>Hỗ trợ sâu (40%)</t>
        </is>
      </c>
      <c r="K373" s="17" t="n">
        <v>153596</v>
      </c>
      <c r="L373" s="17" t="n">
        <v>9599</v>
      </c>
      <c r="M373" s="18">
        <f>L373/K373</f>
        <v/>
      </c>
      <c r="N373" s="17" t="n">
        <v>40</v>
      </c>
      <c r="O373" s="18" t="n">
        <v>0.5155</v>
      </c>
      <c r="P373" s="17" t="n">
        <v>1500000</v>
      </c>
      <c r="Q373" s="17" t="n">
        <v>1100000</v>
      </c>
      <c r="R373" s="17">
        <f>Q373-P373</f>
        <v/>
      </c>
      <c r="S373" s="18">
        <f>(Q373-P373)/P373</f>
        <v/>
      </c>
      <c r="T373" s="14">
        <f>IF(AND(K373&gt;=50000, S373&gt;=0.35), "Vượt KPI", IF(AND(K373&gt;=20000, S373&gt;=0), "Đạt KPI", "Chưa đạt KPI"))</f>
        <v/>
      </c>
    </row>
    <row r="374">
      <c r="A374" s="10" t="inlineStr">
        <is>
          <t>SP-0371</t>
        </is>
      </c>
      <c r="B374" s="11" t="n">
        <v>46078</v>
      </c>
      <c r="C374" s="10" t="inlineStr">
        <is>
          <t>Tháng 02/2026</t>
        </is>
      </c>
      <c r="D374" s="10" t="inlineStr">
        <is>
          <t>Quý 1</t>
        </is>
      </c>
      <c r="E374" s="5" t="inlineStr">
        <is>
          <t>Ban Thời sự - Chính trị</t>
        </is>
      </c>
      <c r="F374" s="5" t="inlineStr">
        <is>
          <t>Nhóm Thanh Tâm</t>
        </is>
      </c>
      <c r="G374" s="5" t="inlineStr">
        <is>
          <t>TikTok</t>
        </is>
      </c>
      <c r="H374" s="5" t="inlineStr">
        <is>
          <t>Short Video (&lt;60s)</t>
        </is>
      </c>
      <c r="I374" s="5" t="inlineStr">
        <is>
          <t>Chính sách &amp; Pháp luật</t>
        </is>
      </c>
      <c r="J374" s="5" t="inlineStr">
        <is>
          <t>Hỗ trợ sâu (40%)</t>
        </is>
      </c>
      <c r="K374" s="12" t="n">
        <v>645838</v>
      </c>
      <c r="L374" s="12" t="n">
        <v>58512</v>
      </c>
      <c r="M374" s="13">
        <f>L374/K374</f>
        <v/>
      </c>
      <c r="N374" s="12" t="n">
        <v>74</v>
      </c>
      <c r="O374" s="13" t="n">
        <v>0.7008</v>
      </c>
      <c r="P374" s="12" t="n">
        <v>1400000</v>
      </c>
      <c r="Q374" s="12" t="n">
        <v>3500000</v>
      </c>
      <c r="R374" s="12">
        <f>Q374-P374</f>
        <v/>
      </c>
      <c r="S374" s="13">
        <f>(Q374-P374)/P374</f>
        <v/>
      </c>
      <c r="T374" s="10">
        <f>IF(AND(K374&gt;=50000, S374&gt;=0.35), "Vượt KPI", IF(AND(K374&gt;=20000, S374&gt;=0), "Đạt KPI", "Chưa đạt KPI"))</f>
        <v/>
      </c>
    </row>
    <row r="375">
      <c r="A375" s="14" t="inlineStr">
        <is>
          <t>SP-0372</t>
        </is>
      </c>
      <c r="B375" s="15" t="n">
        <v>46067</v>
      </c>
      <c r="C375" s="14" t="inlineStr">
        <is>
          <t>Tháng 02/2026</t>
        </is>
      </c>
      <c r="D375" s="14" t="inlineStr">
        <is>
          <t>Quý 1</t>
        </is>
      </c>
      <c r="E375" s="16" t="inlineStr">
        <is>
          <t>Ban Đời sống - Giới trẻ</t>
        </is>
      </c>
      <c r="F375" s="16" t="inlineStr">
        <is>
          <t>Nhóm Bảo Ngọc</t>
        </is>
      </c>
      <c r="G375" s="16" t="inlineStr">
        <is>
          <t>Facebook Page</t>
        </is>
      </c>
      <c r="H375" s="16" t="inlineStr">
        <is>
          <t>Photo Story / Carousel</t>
        </is>
      </c>
      <c r="I375" s="16" t="inlineStr">
        <is>
          <t>Tài chính Cá nhân &amp; Đầu tư</t>
        </is>
      </c>
      <c r="J375" s="16" t="inlineStr">
        <is>
          <t>Cơ bản (15%)</t>
        </is>
      </c>
      <c r="K375" s="17" t="n">
        <v>257942</v>
      </c>
      <c r="L375" s="17" t="n">
        <v>14754</v>
      </c>
      <c r="M375" s="18">
        <f>L375/K375</f>
        <v/>
      </c>
      <c r="N375" s="17" t="n">
        <v>74</v>
      </c>
      <c r="O375" s="18" t="n">
        <v>0.5086000000000001</v>
      </c>
      <c r="P375" s="17" t="n">
        <v>3850000</v>
      </c>
      <c r="Q375" s="17" t="n">
        <v>13750000</v>
      </c>
      <c r="R375" s="17">
        <f>Q375-P375</f>
        <v/>
      </c>
      <c r="S375" s="18">
        <f>(Q375-P375)/P375</f>
        <v/>
      </c>
      <c r="T375" s="14">
        <f>IF(AND(K375&gt;=50000, S375&gt;=0.35), "Vượt KPI", IF(AND(K375&gt;=20000, S375&gt;=0), "Đạt KPI", "Chưa đạt KPI"))</f>
        <v/>
      </c>
    </row>
    <row r="376">
      <c r="A376" s="10" t="inlineStr">
        <is>
          <t>SP-0373</t>
        </is>
      </c>
      <c r="B376" s="11" t="n">
        <v>46054</v>
      </c>
      <c r="C376" s="10" t="inlineStr">
        <is>
          <t>Tháng 02/2026</t>
        </is>
      </c>
      <c r="D376" s="10" t="inlineStr">
        <is>
          <t>Quý 1</t>
        </is>
      </c>
      <c r="E376" s="5" t="inlineStr">
        <is>
          <t>Ban Công nghệ &amp; AI</t>
        </is>
      </c>
      <c r="F376" s="5" t="inlineStr">
        <is>
          <t>Nhóm Tuấn Kiệt</t>
        </is>
      </c>
      <c r="G376" s="5" t="inlineStr">
        <is>
          <t>Báo Điện tử (Web)</t>
        </is>
      </c>
      <c r="H376" s="5" t="inlineStr">
        <is>
          <t>Tin bài Đa phương tiện</t>
        </is>
      </c>
      <c r="I376" s="5" t="inlineStr">
        <is>
          <t>Kinh tế - Thị trường</t>
        </is>
      </c>
      <c r="J376" s="5" t="inlineStr">
        <is>
          <t>Cơ bản (15%)</t>
        </is>
      </c>
      <c r="K376" s="12" t="n">
        <v>181773</v>
      </c>
      <c r="L376" s="12" t="n">
        <v>14923</v>
      </c>
      <c r="M376" s="13">
        <f>L376/K376</f>
        <v/>
      </c>
      <c r="N376" s="12" t="n">
        <v>170</v>
      </c>
      <c r="O376" s="13" t="n">
        <v>0.5734</v>
      </c>
      <c r="P376" s="12" t="n">
        <v>3250000</v>
      </c>
      <c r="Q376" s="12" t="n">
        <v>12050000</v>
      </c>
      <c r="R376" s="12">
        <f>Q376-P376</f>
        <v/>
      </c>
      <c r="S376" s="13">
        <f>(Q376-P376)/P376</f>
        <v/>
      </c>
      <c r="T376" s="10">
        <f>IF(AND(K376&gt;=50000, S376&gt;=0.35), "Vượt KPI", IF(AND(K376&gt;=20000, S376&gt;=0), "Đạt KPI", "Chưa đạt KPI"))</f>
        <v/>
      </c>
    </row>
    <row r="377">
      <c r="A377" s="14" t="inlineStr">
        <is>
          <t>SP-0374</t>
        </is>
      </c>
      <c r="B377" s="15" t="n">
        <v>46201</v>
      </c>
      <c r="C377" s="14" t="inlineStr">
        <is>
          <t>Tháng 06/2026</t>
        </is>
      </c>
      <c r="D377" s="14" t="inlineStr">
        <is>
          <t>Quý 2</t>
        </is>
      </c>
      <c r="E377" s="16" t="inlineStr">
        <is>
          <t>Ban Kinh tế - Tài chính</t>
        </is>
      </c>
      <c r="F377" s="16" t="inlineStr">
        <is>
          <t>Nhóm Đức Thịnh</t>
        </is>
      </c>
      <c r="G377" s="16" t="inlineStr">
        <is>
          <t>YouTube</t>
        </is>
      </c>
      <c r="H377" s="16" t="inlineStr">
        <is>
          <t>YouTube Long-form (10-25p)</t>
        </is>
      </c>
      <c r="I377" s="16" t="inlineStr">
        <is>
          <t>Tài chính Cá nhân &amp; Đầu tư</t>
        </is>
      </c>
      <c r="J377" s="16" t="inlineStr">
        <is>
          <t>Thủ công (0%)</t>
        </is>
      </c>
      <c r="K377" s="17" t="n">
        <v>453873</v>
      </c>
      <c r="L377" s="17" t="n">
        <v>41529</v>
      </c>
      <c r="M377" s="18">
        <f>L377/K377</f>
        <v/>
      </c>
      <c r="N377" s="17" t="n">
        <v>419</v>
      </c>
      <c r="O377" s="18" t="n">
        <v>0.435</v>
      </c>
      <c r="P377" s="17" t="n">
        <v>9550000</v>
      </c>
      <c r="Q377" s="17" t="n">
        <v>38100000</v>
      </c>
      <c r="R377" s="17">
        <f>Q377-P377</f>
        <v/>
      </c>
      <c r="S377" s="18">
        <f>(Q377-P377)/P377</f>
        <v/>
      </c>
      <c r="T377" s="14">
        <f>IF(AND(K377&gt;=50000, S377&gt;=0.35), "Vượt KPI", IF(AND(K377&gt;=20000, S377&gt;=0), "Đạt KPI", "Chưa đạt KPI"))</f>
        <v/>
      </c>
    </row>
    <row r="378">
      <c r="A378" s="10" t="inlineStr">
        <is>
          <t>SP-0375</t>
        </is>
      </c>
      <c r="B378" s="11" t="n">
        <v>46078</v>
      </c>
      <c r="C378" s="10" t="inlineStr">
        <is>
          <t>Tháng 02/2026</t>
        </is>
      </c>
      <c r="D378" s="10" t="inlineStr">
        <is>
          <t>Quý 1</t>
        </is>
      </c>
      <c r="E378" s="5" t="inlineStr">
        <is>
          <t>Ban Công nghệ &amp; AI</t>
        </is>
      </c>
      <c r="F378" s="5" t="inlineStr">
        <is>
          <t>Nhóm Gia Hưng</t>
        </is>
      </c>
      <c r="G378" s="5" t="inlineStr">
        <is>
          <t>TikTok</t>
        </is>
      </c>
      <c r="H378" s="5" t="inlineStr">
        <is>
          <t>TikTok Reel (1-3p)</t>
        </is>
      </c>
      <c r="I378" s="5" t="inlineStr">
        <is>
          <t>Công nghệ &amp; AI</t>
        </is>
      </c>
      <c r="J378" s="5" t="inlineStr">
        <is>
          <t>Thủ công (0%)</t>
        </is>
      </c>
      <c r="K378" s="12" t="n">
        <v>400095</v>
      </c>
      <c r="L378" s="12" t="n">
        <v>28566</v>
      </c>
      <c r="M378" s="13">
        <f>L378/K378</f>
        <v/>
      </c>
      <c r="N378" s="12" t="n">
        <v>86</v>
      </c>
      <c r="O378" s="13" t="n">
        <v>0.3829</v>
      </c>
      <c r="P378" s="12" t="n">
        <v>3350000</v>
      </c>
      <c r="Q378" s="12" t="n">
        <v>4000000</v>
      </c>
      <c r="R378" s="12">
        <f>Q378-P378</f>
        <v/>
      </c>
      <c r="S378" s="13">
        <f>(Q378-P378)/P378</f>
        <v/>
      </c>
      <c r="T378" s="10">
        <f>IF(AND(K378&gt;=50000, S378&gt;=0.35), "Vượt KPI", IF(AND(K378&gt;=20000, S378&gt;=0), "Đạt KPI", "Chưa đạt KPI"))</f>
        <v/>
      </c>
    </row>
    <row r="379">
      <c r="A379" s="14" t="inlineStr">
        <is>
          <t>SP-0376</t>
        </is>
      </c>
      <c r="B379" s="15" t="n">
        <v>46119</v>
      </c>
      <c r="C379" s="14" t="inlineStr">
        <is>
          <t>Tháng 04/2026</t>
        </is>
      </c>
      <c r="D379" s="14" t="inlineStr">
        <is>
          <t>Quý 2</t>
        </is>
      </c>
      <c r="E379" s="16" t="inlineStr">
        <is>
          <t>Ban Đời sống - Giới trẻ</t>
        </is>
      </c>
      <c r="F379" s="16" t="inlineStr">
        <is>
          <t>Nhóm Phương Thảo</t>
        </is>
      </c>
      <c r="G379" s="16" t="inlineStr">
        <is>
          <t>Facebook Page</t>
        </is>
      </c>
      <c r="H379" s="16" t="inlineStr">
        <is>
          <t>Video Bản tin (3-5p)</t>
        </is>
      </c>
      <c r="I379" s="16" t="inlineStr">
        <is>
          <t>Tài chính Cá nhân &amp; Đầu tư</t>
        </is>
      </c>
      <c r="J379" s="16" t="inlineStr">
        <is>
          <t>Toàn trình (70%)</t>
        </is>
      </c>
      <c r="K379" s="17" t="n">
        <v>209076</v>
      </c>
      <c r="L379" s="17" t="n">
        <v>10265</v>
      </c>
      <c r="M379" s="18">
        <f>L379/K379</f>
        <v/>
      </c>
      <c r="N379" s="17" t="n">
        <v>140</v>
      </c>
      <c r="O379" s="18" t="n">
        <v>0.7952</v>
      </c>
      <c r="P379" s="17" t="n">
        <v>2650000</v>
      </c>
      <c r="Q379" s="17" t="n">
        <v>4150000</v>
      </c>
      <c r="R379" s="17">
        <f>Q379-P379</f>
        <v/>
      </c>
      <c r="S379" s="18">
        <f>(Q379-P379)/P379</f>
        <v/>
      </c>
      <c r="T379" s="14">
        <f>IF(AND(K379&gt;=50000, S379&gt;=0.35), "Vượt KPI", IF(AND(K379&gt;=20000, S379&gt;=0), "Đạt KPI", "Chưa đạt KPI"))</f>
        <v/>
      </c>
    </row>
    <row r="380">
      <c r="A380" s="10" t="inlineStr">
        <is>
          <t>SP-0377</t>
        </is>
      </c>
      <c r="B380" s="11" t="n">
        <v>46149</v>
      </c>
      <c r="C380" s="10" t="inlineStr">
        <is>
          <t>Tháng 05/2026</t>
        </is>
      </c>
      <c r="D380" s="10" t="inlineStr">
        <is>
          <t>Quý 2</t>
        </is>
      </c>
      <c r="E380" s="5" t="inlineStr">
        <is>
          <t>Ban Đời sống - Giới trẻ</t>
        </is>
      </c>
      <c r="F380" s="5" t="inlineStr">
        <is>
          <t>Nhóm Bảo Ngọc</t>
        </is>
      </c>
      <c r="G380" s="5" t="inlineStr">
        <is>
          <t>TikTok</t>
        </is>
      </c>
      <c r="H380" s="5" t="inlineStr">
        <is>
          <t>Short Video (&lt;60s)</t>
        </is>
      </c>
      <c r="I380" s="5" t="inlineStr">
        <is>
          <t>Phóng sự Điều tra</t>
        </is>
      </c>
      <c r="J380" s="5" t="inlineStr">
        <is>
          <t>Thủ công (0%)</t>
        </is>
      </c>
      <c r="K380" s="12" t="n">
        <v>1269461</v>
      </c>
      <c r="L380" s="12" t="n">
        <v>102191</v>
      </c>
      <c r="M380" s="13">
        <f>L380/K380</f>
        <v/>
      </c>
      <c r="N380" s="12" t="n">
        <v>19</v>
      </c>
      <c r="O380" s="13" t="n">
        <v>0.4698</v>
      </c>
      <c r="P380" s="12" t="n">
        <v>4750000</v>
      </c>
      <c r="Q380" s="12" t="n">
        <v>11900000</v>
      </c>
      <c r="R380" s="12">
        <f>Q380-P380</f>
        <v/>
      </c>
      <c r="S380" s="13">
        <f>(Q380-P380)/P380</f>
        <v/>
      </c>
      <c r="T380" s="10">
        <f>IF(AND(K380&gt;=50000, S380&gt;=0.35), "Vượt KPI", IF(AND(K380&gt;=20000, S380&gt;=0), "Đạt KPI", "Chưa đạt KPI"))</f>
        <v/>
      </c>
    </row>
    <row r="381">
      <c r="A381" s="14" t="inlineStr">
        <is>
          <t>SP-0378</t>
        </is>
      </c>
      <c r="B381" s="15" t="n">
        <v>46198</v>
      </c>
      <c r="C381" s="14" t="inlineStr">
        <is>
          <t>Tháng 06/2026</t>
        </is>
      </c>
      <c r="D381" s="14" t="inlineStr">
        <is>
          <t>Quý 2</t>
        </is>
      </c>
      <c r="E381" s="16" t="inlineStr">
        <is>
          <t>Ban Kinh tế - Tài chính</t>
        </is>
      </c>
      <c r="F381" s="16" t="inlineStr">
        <is>
          <t>Nhóm Lan Hương</t>
        </is>
      </c>
      <c r="G381" s="16" t="inlineStr">
        <is>
          <t>Facebook Page</t>
        </is>
      </c>
      <c r="H381" s="16" t="inlineStr">
        <is>
          <t>Video Bản tin (3-5p)</t>
        </is>
      </c>
      <c r="I381" s="16" t="inlineStr">
        <is>
          <t>Kinh tế - Thị trường</t>
        </is>
      </c>
      <c r="J381" s="16" t="inlineStr">
        <is>
          <t>Hỗ trợ sâu (40%)</t>
        </is>
      </c>
      <c r="K381" s="17" t="n">
        <v>130398</v>
      </c>
      <c r="L381" s="17" t="n">
        <v>6454</v>
      </c>
      <c r="M381" s="18">
        <f>L381/K381</f>
        <v/>
      </c>
      <c r="N381" s="17" t="n">
        <v>60</v>
      </c>
      <c r="O381" s="18" t="n">
        <v>0.4454</v>
      </c>
      <c r="P381" s="17" t="n">
        <v>2600000</v>
      </c>
      <c r="Q381" s="17" t="n">
        <v>1350000</v>
      </c>
      <c r="R381" s="17">
        <f>Q381-P381</f>
        <v/>
      </c>
      <c r="S381" s="18">
        <f>(Q381-P381)/P381</f>
        <v/>
      </c>
      <c r="T381" s="14">
        <f>IF(AND(K381&gt;=50000, S381&gt;=0.35), "Vượt KPI", IF(AND(K381&gt;=20000, S381&gt;=0), "Đạt KPI", "Chưa đạt KPI"))</f>
        <v/>
      </c>
    </row>
    <row r="382">
      <c r="A382" s="10" t="inlineStr">
        <is>
          <t>SP-0379</t>
        </is>
      </c>
      <c r="B382" s="11" t="n">
        <v>46133</v>
      </c>
      <c r="C382" s="10" t="inlineStr">
        <is>
          <t>Tháng 04/2026</t>
        </is>
      </c>
      <c r="D382" s="10" t="inlineStr">
        <is>
          <t>Quý 2</t>
        </is>
      </c>
      <c r="E382" s="5" t="inlineStr">
        <is>
          <t>Ban Kinh tế - Tài chính</t>
        </is>
      </c>
      <c r="F382" s="5" t="inlineStr">
        <is>
          <t>Nhóm Lan Hương</t>
        </is>
      </c>
      <c r="G382" s="5" t="inlineStr">
        <is>
          <t>Podcast / Audio</t>
        </is>
      </c>
      <c r="H382" s="5" t="inlineStr">
        <is>
          <t>Podcast Chuyên sâu (20p)</t>
        </is>
      </c>
      <c r="I382" s="5" t="inlineStr">
        <is>
          <t>Chính sách &amp; Pháp luật</t>
        </is>
      </c>
      <c r="J382" s="5" t="inlineStr">
        <is>
          <t>Cơ bản (15%)</t>
        </is>
      </c>
      <c r="K382" s="12" t="n">
        <v>86160</v>
      </c>
      <c r="L382" s="12" t="n">
        <v>4773</v>
      </c>
      <c r="M382" s="13">
        <f>L382/K382</f>
        <v/>
      </c>
      <c r="N382" s="12" t="n">
        <v>270</v>
      </c>
      <c r="O382" s="13" t="n">
        <v>0.6506999999999999</v>
      </c>
      <c r="P382" s="12" t="n">
        <v>1900000</v>
      </c>
      <c r="Q382" s="12" t="n">
        <v>1950000</v>
      </c>
      <c r="R382" s="12">
        <f>Q382-P382</f>
        <v/>
      </c>
      <c r="S382" s="13">
        <f>(Q382-P382)/P382</f>
        <v/>
      </c>
      <c r="T382" s="10">
        <f>IF(AND(K382&gt;=50000, S382&gt;=0.35), "Vượt KPI", IF(AND(K382&gt;=20000, S382&gt;=0), "Đạt KPI", "Chưa đạt KPI"))</f>
        <v/>
      </c>
    </row>
    <row r="383">
      <c r="A383" s="14" t="inlineStr">
        <is>
          <t>SP-0380</t>
        </is>
      </c>
      <c r="B383" s="15" t="n">
        <v>46047</v>
      </c>
      <c r="C383" s="14" t="inlineStr">
        <is>
          <t>Tháng 01/2026</t>
        </is>
      </c>
      <c r="D383" s="14" t="inlineStr">
        <is>
          <t>Quý 1</t>
        </is>
      </c>
      <c r="E383" s="16" t="inlineStr">
        <is>
          <t>Ban Kinh tế - Tài chính</t>
        </is>
      </c>
      <c r="F383" s="16" t="inlineStr">
        <is>
          <t>Nhóm Lan Hương</t>
        </is>
      </c>
      <c r="G383" s="16" t="inlineStr">
        <is>
          <t>TikTok</t>
        </is>
      </c>
      <c r="H383" s="16" t="inlineStr">
        <is>
          <t>TikTok Reel (1-3p)</t>
        </is>
      </c>
      <c r="I383" s="16" t="inlineStr">
        <is>
          <t>Kinh tế - Thị trường</t>
        </is>
      </c>
      <c r="J383" s="16" t="inlineStr">
        <is>
          <t>Hỗ trợ sâu (40%)</t>
        </is>
      </c>
      <c r="K383" s="17" t="n">
        <v>857098</v>
      </c>
      <c r="L383" s="17" t="n">
        <v>62225</v>
      </c>
      <c r="M383" s="18">
        <f>L383/K383</f>
        <v/>
      </c>
      <c r="N383" s="17" t="n">
        <v>66</v>
      </c>
      <c r="O383" s="18" t="n">
        <v>0.6993</v>
      </c>
      <c r="P383" s="17" t="n">
        <v>1100000</v>
      </c>
      <c r="Q383" s="17" t="n">
        <v>4850000</v>
      </c>
      <c r="R383" s="17">
        <f>Q383-P383</f>
        <v/>
      </c>
      <c r="S383" s="18">
        <f>(Q383-P383)/P383</f>
        <v/>
      </c>
      <c r="T383" s="14">
        <f>IF(AND(K383&gt;=50000, S383&gt;=0.35), "Vượt KPI", IF(AND(K383&gt;=20000, S383&gt;=0), "Đạt KPI", "Chưa đạt KPI"))</f>
        <v/>
      </c>
    </row>
    <row r="384">
      <c r="A384" s="10" t="inlineStr">
        <is>
          <t>SP-0381</t>
        </is>
      </c>
      <c r="B384" s="11" t="n">
        <v>46125</v>
      </c>
      <c r="C384" s="10" t="inlineStr">
        <is>
          <t>Tháng 04/2026</t>
        </is>
      </c>
      <c r="D384" s="10" t="inlineStr">
        <is>
          <t>Quý 2</t>
        </is>
      </c>
      <c r="E384" s="5" t="inlineStr">
        <is>
          <t>Ban Video &amp; Truyền hình số</t>
        </is>
      </c>
      <c r="F384" s="5" t="inlineStr">
        <is>
          <t>Nhóm Đặng Minh</t>
        </is>
      </c>
      <c r="G384" s="5" t="inlineStr">
        <is>
          <t>Báo Điện tử (Web)</t>
        </is>
      </c>
      <c r="H384" s="5" t="inlineStr">
        <is>
          <t>Infographic / Mega Story</t>
        </is>
      </c>
      <c r="I384" s="5" t="inlineStr">
        <is>
          <t>Kinh tế - Thị trường</t>
        </is>
      </c>
      <c r="J384" s="5" t="inlineStr">
        <is>
          <t>Cơ bản (15%)</t>
        </is>
      </c>
      <c r="K384" s="12" t="n">
        <v>79102</v>
      </c>
      <c r="L384" s="12" t="n">
        <v>7237</v>
      </c>
      <c r="M384" s="13">
        <f>L384/K384</f>
        <v/>
      </c>
      <c r="N384" s="12" t="n">
        <v>316</v>
      </c>
      <c r="O384" s="13" t="n">
        <v>0.7103</v>
      </c>
      <c r="P384" s="12" t="n">
        <v>1550000</v>
      </c>
      <c r="Q384" s="12" t="n">
        <v>5950000</v>
      </c>
      <c r="R384" s="12">
        <f>Q384-P384</f>
        <v/>
      </c>
      <c r="S384" s="13">
        <f>(Q384-P384)/P384</f>
        <v/>
      </c>
      <c r="T384" s="10">
        <f>IF(AND(K384&gt;=50000, S384&gt;=0.35), "Vượt KPI", IF(AND(K384&gt;=20000, S384&gt;=0), "Đạt KPI", "Chưa đạt KPI"))</f>
        <v/>
      </c>
    </row>
    <row r="385">
      <c r="A385" s="14" t="inlineStr">
        <is>
          <t>SP-0382</t>
        </is>
      </c>
      <c r="B385" s="15" t="n">
        <v>46197</v>
      </c>
      <c r="C385" s="14" t="inlineStr">
        <is>
          <t>Tháng 06/2026</t>
        </is>
      </c>
      <c r="D385" s="14" t="inlineStr">
        <is>
          <t>Quý 2</t>
        </is>
      </c>
      <c r="E385" s="16" t="inlineStr">
        <is>
          <t>Ban Thời sự - Chính trị</t>
        </is>
      </c>
      <c r="F385" s="16" t="inlineStr">
        <is>
          <t>Nhóm Thanh Tâm</t>
        </is>
      </c>
      <c r="G385" s="16" t="inlineStr">
        <is>
          <t>TikTok</t>
        </is>
      </c>
      <c r="H385" s="16" t="inlineStr">
        <is>
          <t>TikTok Reel (1-3p)</t>
        </is>
      </c>
      <c r="I385" s="16" t="inlineStr">
        <is>
          <t>Công nghệ &amp; AI</t>
        </is>
      </c>
      <c r="J385" s="16" t="inlineStr">
        <is>
          <t>Cơ bản (15%)</t>
        </is>
      </c>
      <c r="K385" s="17" t="n">
        <v>466505</v>
      </c>
      <c r="L385" s="17" t="n">
        <v>55887</v>
      </c>
      <c r="M385" s="18">
        <f>L385/K385</f>
        <v/>
      </c>
      <c r="N385" s="17" t="n">
        <v>35</v>
      </c>
      <c r="O385" s="18" t="n">
        <v>0.4644</v>
      </c>
      <c r="P385" s="17" t="n">
        <v>1100000</v>
      </c>
      <c r="Q385" s="17" t="n">
        <v>2250000</v>
      </c>
      <c r="R385" s="17">
        <f>Q385-P385</f>
        <v/>
      </c>
      <c r="S385" s="18">
        <f>(Q385-P385)/P385</f>
        <v/>
      </c>
      <c r="T385" s="14">
        <f>IF(AND(K385&gt;=50000, S385&gt;=0.35), "Vượt KPI", IF(AND(K385&gt;=20000, S385&gt;=0), "Đạt KPI", "Chưa đạt KPI"))</f>
        <v/>
      </c>
    </row>
    <row r="386">
      <c r="A386" s="10" t="inlineStr">
        <is>
          <t>SP-0383</t>
        </is>
      </c>
      <c r="B386" s="11" t="n">
        <v>46160</v>
      </c>
      <c r="C386" s="10" t="inlineStr">
        <is>
          <t>Tháng 05/2026</t>
        </is>
      </c>
      <c r="D386" s="10" t="inlineStr">
        <is>
          <t>Quý 2</t>
        </is>
      </c>
      <c r="E386" s="5" t="inlineStr">
        <is>
          <t>Ban Công nghệ &amp; AI</t>
        </is>
      </c>
      <c r="F386" s="5" t="inlineStr">
        <is>
          <t>Nhóm Ngọc Ánh</t>
        </is>
      </c>
      <c r="G386" s="5" t="inlineStr">
        <is>
          <t>Báo Điện tử (Web)</t>
        </is>
      </c>
      <c r="H386" s="5" t="inlineStr">
        <is>
          <t>Infographic / Mega Story</t>
        </is>
      </c>
      <c r="I386" s="5" t="inlineStr">
        <is>
          <t>Kinh tế - Thị trường</t>
        </is>
      </c>
      <c r="J386" s="5" t="inlineStr">
        <is>
          <t>Hỗ trợ sâu (40%)</t>
        </is>
      </c>
      <c r="K386" s="12" t="n">
        <v>274535</v>
      </c>
      <c r="L386" s="12" t="n">
        <v>9498</v>
      </c>
      <c r="M386" s="13">
        <f>L386/K386</f>
        <v/>
      </c>
      <c r="N386" s="12" t="n">
        <v>260</v>
      </c>
      <c r="O386" s="13" t="n">
        <v>0.3761</v>
      </c>
      <c r="P386" s="12" t="n">
        <v>5000000</v>
      </c>
      <c r="Q386" s="12" t="n">
        <v>21700000</v>
      </c>
      <c r="R386" s="12">
        <f>Q386-P386</f>
        <v/>
      </c>
      <c r="S386" s="13">
        <f>(Q386-P386)/P386</f>
        <v/>
      </c>
      <c r="T386" s="10">
        <f>IF(AND(K386&gt;=50000, S386&gt;=0.35), "Vượt KPI", IF(AND(K386&gt;=20000, S386&gt;=0), "Đạt KPI", "Chưa đạt KPI"))</f>
        <v/>
      </c>
    </row>
    <row r="387">
      <c r="A387" s="14" t="inlineStr">
        <is>
          <t>SP-0384</t>
        </is>
      </c>
      <c r="B387" s="15" t="n">
        <v>46148</v>
      </c>
      <c r="C387" s="14" t="inlineStr">
        <is>
          <t>Tháng 05/2026</t>
        </is>
      </c>
      <c r="D387" s="14" t="inlineStr">
        <is>
          <t>Quý 2</t>
        </is>
      </c>
      <c r="E387" s="16" t="inlineStr">
        <is>
          <t>Ban Kinh tế - Tài chính</t>
        </is>
      </c>
      <c r="F387" s="16" t="inlineStr">
        <is>
          <t>Nhóm Minh Tuấn</t>
        </is>
      </c>
      <c r="G387" s="16" t="inlineStr">
        <is>
          <t>YouTube</t>
        </is>
      </c>
      <c r="H387" s="16" t="inlineStr">
        <is>
          <t>YouTube Shorts</t>
        </is>
      </c>
      <c r="I387" s="16" t="inlineStr">
        <is>
          <t>Chính sách &amp; Pháp luật</t>
        </is>
      </c>
      <c r="J387" s="16" t="inlineStr">
        <is>
          <t>Thủ công (0%)</t>
        </is>
      </c>
      <c r="K387" s="17" t="n">
        <v>86683</v>
      </c>
      <c r="L387" s="17" t="n">
        <v>4793</v>
      </c>
      <c r="M387" s="18">
        <f>L387/K387</f>
        <v/>
      </c>
      <c r="N387" s="17" t="n">
        <v>670</v>
      </c>
      <c r="O387" s="18" t="n">
        <v>0.6152</v>
      </c>
      <c r="P387" s="17" t="n">
        <v>20300000</v>
      </c>
      <c r="Q387" s="17" t="n">
        <v>15850000</v>
      </c>
      <c r="R387" s="17">
        <f>Q387-P387</f>
        <v/>
      </c>
      <c r="S387" s="18">
        <f>(Q387-P387)/P387</f>
        <v/>
      </c>
      <c r="T387" s="14">
        <f>IF(AND(K387&gt;=50000, S387&gt;=0.35), "Vượt KPI", IF(AND(K387&gt;=20000, S387&gt;=0), "Đạt KPI", "Chưa đạt KPI"))</f>
        <v/>
      </c>
    </row>
    <row r="388">
      <c r="A388" s="10" t="inlineStr">
        <is>
          <t>SP-0385</t>
        </is>
      </c>
      <c r="B388" s="11" t="n">
        <v>46156</v>
      </c>
      <c r="C388" s="10" t="inlineStr">
        <is>
          <t>Tháng 05/2026</t>
        </is>
      </c>
      <c r="D388" s="10" t="inlineStr">
        <is>
          <t>Quý 2</t>
        </is>
      </c>
      <c r="E388" s="5" t="inlineStr">
        <is>
          <t>Ban Thời sự - Chính trị</t>
        </is>
      </c>
      <c r="F388" s="5" t="inlineStr">
        <is>
          <t>Nhóm Quang Huy</t>
        </is>
      </c>
      <c r="G388" s="5" t="inlineStr">
        <is>
          <t>YouTube</t>
        </is>
      </c>
      <c r="H388" s="5" t="inlineStr">
        <is>
          <t>YouTube Long-form (10-25p)</t>
        </is>
      </c>
      <c r="I388" s="5" t="inlineStr">
        <is>
          <t>Chính sách &amp; Pháp luật</t>
        </is>
      </c>
      <c r="J388" s="5" t="inlineStr">
        <is>
          <t>Cơ bản (15%)</t>
        </is>
      </c>
      <c r="K388" s="12" t="n">
        <v>619399</v>
      </c>
      <c r="L388" s="12" t="n">
        <v>39022</v>
      </c>
      <c r="M388" s="13">
        <f>L388/K388</f>
        <v/>
      </c>
      <c r="N388" s="12" t="n">
        <v>563</v>
      </c>
      <c r="O388" s="13" t="n">
        <v>0.6204</v>
      </c>
      <c r="P388" s="12" t="n">
        <v>12000000</v>
      </c>
      <c r="Q388" s="12" t="n">
        <v>45200000</v>
      </c>
      <c r="R388" s="12">
        <f>Q388-P388</f>
        <v/>
      </c>
      <c r="S388" s="13">
        <f>(Q388-P388)/P388</f>
        <v/>
      </c>
      <c r="T388" s="10">
        <f>IF(AND(K388&gt;=50000, S388&gt;=0.35), "Vượt KPI", IF(AND(K388&gt;=20000, S388&gt;=0), "Đạt KPI", "Chưa đạt KPI"))</f>
        <v/>
      </c>
    </row>
    <row r="389">
      <c r="A389" s="14" t="inlineStr">
        <is>
          <t>SP-0386</t>
        </is>
      </c>
      <c r="B389" s="15" t="n">
        <v>46089</v>
      </c>
      <c r="C389" s="14" t="inlineStr">
        <is>
          <t>Tháng 03/2026</t>
        </is>
      </c>
      <c r="D389" s="14" t="inlineStr">
        <is>
          <t>Quý 1</t>
        </is>
      </c>
      <c r="E389" s="16" t="inlineStr">
        <is>
          <t>Ban Công nghệ &amp; AI</t>
        </is>
      </c>
      <c r="F389" s="16" t="inlineStr">
        <is>
          <t>Nhóm Gia Hưng</t>
        </is>
      </c>
      <c r="G389" s="16" t="inlineStr">
        <is>
          <t>Facebook Page</t>
        </is>
      </c>
      <c r="H389" s="16" t="inlineStr">
        <is>
          <t>Facebook Reels</t>
        </is>
      </c>
      <c r="I389" s="16" t="inlineStr">
        <is>
          <t>Kinh tế - Thị trường</t>
        </is>
      </c>
      <c r="J389" s="16" t="inlineStr">
        <is>
          <t>Hỗ trợ sâu (40%)</t>
        </is>
      </c>
      <c r="K389" s="17" t="n">
        <v>392965</v>
      </c>
      <c r="L389" s="17" t="n">
        <v>19215</v>
      </c>
      <c r="M389" s="18">
        <f>L389/K389</f>
        <v/>
      </c>
      <c r="N389" s="17" t="n">
        <v>146</v>
      </c>
      <c r="O389" s="18" t="n">
        <v>0.6872</v>
      </c>
      <c r="P389" s="17" t="n">
        <v>2600000</v>
      </c>
      <c r="Q389" s="17" t="n">
        <v>8800000</v>
      </c>
      <c r="R389" s="17">
        <f>Q389-P389</f>
        <v/>
      </c>
      <c r="S389" s="18">
        <f>(Q389-P389)/P389</f>
        <v/>
      </c>
      <c r="T389" s="14">
        <f>IF(AND(K389&gt;=50000, S389&gt;=0.35), "Vượt KPI", IF(AND(K389&gt;=20000, S389&gt;=0), "Đạt KPI", "Chưa đạt KPI"))</f>
        <v/>
      </c>
    </row>
    <row r="390">
      <c r="A390" s="10" t="inlineStr">
        <is>
          <t>SP-0387</t>
        </is>
      </c>
      <c r="B390" s="11" t="n">
        <v>46154</v>
      </c>
      <c r="C390" s="10" t="inlineStr">
        <is>
          <t>Tháng 05/2026</t>
        </is>
      </c>
      <c r="D390" s="10" t="inlineStr">
        <is>
          <t>Quý 2</t>
        </is>
      </c>
      <c r="E390" s="5" t="inlineStr">
        <is>
          <t>Ban Phóng sự - Điều tra</t>
        </is>
      </c>
      <c r="F390" s="5" t="inlineStr">
        <is>
          <t>Nhóm Trọng Nghĩa</t>
        </is>
      </c>
      <c r="G390" s="5" t="inlineStr">
        <is>
          <t>Facebook Page</t>
        </is>
      </c>
      <c r="H390" s="5" t="inlineStr">
        <is>
          <t>Facebook Reels</t>
        </is>
      </c>
      <c r="I390" s="5" t="inlineStr">
        <is>
          <t>Chính sách &amp; Pháp luật</t>
        </is>
      </c>
      <c r="J390" s="5" t="inlineStr">
        <is>
          <t>Hỗ trợ sâu (40%)</t>
        </is>
      </c>
      <c r="K390" s="12" t="n">
        <v>959046</v>
      </c>
      <c r="L390" s="12" t="n">
        <v>21194</v>
      </c>
      <c r="M390" s="13">
        <f>L390/K390</f>
        <v/>
      </c>
      <c r="N390" s="12" t="n">
        <v>174</v>
      </c>
      <c r="O390" s="13" t="n">
        <v>0.3668</v>
      </c>
      <c r="P390" s="12" t="n">
        <v>3250000</v>
      </c>
      <c r="Q390" s="12" t="n">
        <v>11450000</v>
      </c>
      <c r="R390" s="12">
        <f>Q390-P390</f>
        <v/>
      </c>
      <c r="S390" s="13">
        <f>(Q390-P390)/P390</f>
        <v/>
      </c>
      <c r="T390" s="10">
        <f>IF(AND(K390&gt;=50000, S390&gt;=0.35), "Vượt KPI", IF(AND(K390&gt;=20000, S390&gt;=0), "Đạt KPI", "Chưa đạt KPI"))</f>
        <v/>
      </c>
    </row>
    <row r="391">
      <c r="A391" s="14" t="inlineStr">
        <is>
          <t>SP-0388</t>
        </is>
      </c>
      <c r="B391" s="15" t="n">
        <v>46153</v>
      </c>
      <c r="C391" s="14" t="inlineStr">
        <is>
          <t>Tháng 05/2026</t>
        </is>
      </c>
      <c r="D391" s="14" t="inlineStr">
        <is>
          <t>Quý 2</t>
        </is>
      </c>
      <c r="E391" s="16" t="inlineStr">
        <is>
          <t>Ban Video &amp; Truyền hình số</t>
        </is>
      </c>
      <c r="F391" s="16" t="inlineStr">
        <is>
          <t>Nhóm Đặng Minh</t>
        </is>
      </c>
      <c r="G391" s="16" t="inlineStr">
        <is>
          <t>Podcast / Audio</t>
        </is>
      </c>
      <c r="H391" s="16" t="inlineStr">
        <is>
          <t>Điểm tin Audio AI (5p)</t>
        </is>
      </c>
      <c r="I391" s="16" t="inlineStr">
        <is>
          <t>Chính sách &amp; Pháp luật</t>
        </is>
      </c>
      <c r="J391" s="16" t="inlineStr">
        <is>
          <t>Cơ bản (15%)</t>
        </is>
      </c>
      <c r="K391" s="17" t="n">
        <v>50453</v>
      </c>
      <c r="L391" s="17" t="n">
        <v>3920</v>
      </c>
      <c r="M391" s="18">
        <f>L391/K391</f>
        <v/>
      </c>
      <c r="N391" s="17" t="n">
        <v>222</v>
      </c>
      <c r="O391" s="18" t="n">
        <v>0.4971</v>
      </c>
      <c r="P391" s="17" t="n">
        <v>550000</v>
      </c>
      <c r="Q391" s="17" t="n">
        <v>850000</v>
      </c>
      <c r="R391" s="17">
        <f>Q391-P391</f>
        <v/>
      </c>
      <c r="S391" s="18">
        <f>(Q391-P391)/P391</f>
        <v/>
      </c>
      <c r="T391" s="14">
        <f>IF(AND(K391&gt;=50000, S391&gt;=0.35), "Vượt KPI", IF(AND(K391&gt;=20000, S391&gt;=0), "Đạt KPI", "Chưa đạt KPI"))</f>
        <v/>
      </c>
    </row>
    <row r="392">
      <c r="A392" s="10" t="inlineStr">
        <is>
          <t>SP-0389</t>
        </is>
      </c>
      <c r="B392" s="11" t="n">
        <v>46165</v>
      </c>
      <c r="C392" s="10" t="inlineStr">
        <is>
          <t>Tháng 05/2026</t>
        </is>
      </c>
      <c r="D392" s="10" t="inlineStr">
        <is>
          <t>Quý 2</t>
        </is>
      </c>
      <c r="E392" s="5" t="inlineStr">
        <is>
          <t>Ban Kinh tế - Tài chính</t>
        </is>
      </c>
      <c r="F392" s="5" t="inlineStr">
        <is>
          <t>Nhóm Đức Thịnh</t>
        </is>
      </c>
      <c r="G392" s="5" t="inlineStr">
        <is>
          <t>Báo Điện tử (Web)</t>
        </is>
      </c>
      <c r="H392" s="5" t="inlineStr">
        <is>
          <t>Infographic / Mega Story</t>
        </is>
      </c>
      <c r="I392" s="5" t="inlineStr">
        <is>
          <t>Tài chính Cá nhân &amp; Đầu tư</t>
        </is>
      </c>
      <c r="J392" s="5" t="inlineStr">
        <is>
          <t>Toàn trình (70%)</t>
        </is>
      </c>
      <c r="K392" s="12" t="n">
        <v>269698</v>
      </c>
      <c r="L392" s="12" t="n">
        <v>9951</v>
      </c>
      <c r="M392" s="13">
        <f>L392/K392</f>
        <v/>
      </c>
      <c r="N392" s="12" t="n">
        <v>229</v>
      </c>
      <c r="O392" s="13" t="n">
        <v>0.7496</v>
      </c>
      <c r="P392" s="12" t="n">
        <v>3950000</v>
      </c>
      <c r="Q392" s="12" t="n">
        <v>19250000</v>
      </c>
      <c r="R392" s="12">
        <f>Q392-P392</f>
        <v/>
      </c>
      <c r="S392" s="13">
        <f>(Q392-P392)/P392</f>
        <v/>
      </c>
      <c r="T392" s="10">
        <f>IF(AND(K392&gt;=50000, S392&gt;=0.35), "Vượt KPI", IF(AND(K392&gt;=20000, S392&gt;=0), "Đạt KPI", "Chưa đạt KPI"))</f>
        <v/>
      </c>
    </row>
    <row r="393">
      <c r="A393" s="14" t="inlineStr">
        <is>
          <t>SP-0390</t>
        </is>
      </c>
      <c r="B393" s="15" t="n">
        <v>46149</v>
      </c>
      <c r="C393" s="14" t="inlineStr">
        <is>
          <t>Tháng 05/2026</t>
        </is>
      </c>
      <c r="D393" s="14" t="inlineStr">
        <is>
          <t>Quý 2</t>
        </is>
      </c>
      <c r="E393" s="16" t="inlineStr">
        <is>
          <t>Ban Thời sự - Chính trị</t>
        </is>
      </c>
      <c r="F393" s="16" t="inlineStr">
        <is>
          <t>Nhóm Thanh Tâm</t>
        </is>
      </c>
      <c r="G393" s="16" t="inlineStr">
        <is>
          <t>TikTok</t>
        </is>
      </c>
      <c r="H393" s="16" t="inlineStr">
        <is>
          <t>TikTok Reel (1-3p)</t>
        </is>
      </c>
      <c r="I393" s="16" t="inlineStr">
        <is>
          <t>Đời sống - Xã hội</t>
        </is>
      </c>
      <c r="J393" s="16" t="inlineStr">
        <is>
          <t>Cơ bản (15%)</t>
        </is>
      </c>
      <c r="K393" s="17" t="n">
        <v>567924</v>
      </c>
      <c r="L393" s="17" t="n">
        <v>64118</v>
      </c>
      <c r="M393" s="18">
        <f>L393/K393</f>
        <v/>
      </c>
      <c r="N393" s="17" t="n">
        <v>26</v>
      </c>
      <c r="O393" s="18" t="n">
        <v>0.3632</v>
      </c>
      <c r="P393" s="17" t="n">
        <v>2000000</v>
      </c>
      <c r="Q393" s="17" t="n">
        <v>2950000</v>
      </c>
      <c r="R393" s="17">
        <f>Q393-P393</f>
        <v/>
      </c>
      <c r="S393" s="18">
        <f>(Q393-P393)/P393</f>
        <v/>
      </c>
      <c r="T393" s="14">
        <f>IF(AND(K393&gt;=50000, S393&gt;=0.35), "Vượt KPI", IF(AND(K393&gt;=20000, S393&gt;=0), "Đạt KPI", "Chưa đạt KPI"))</f>
        <v/>
      </c>
    </row>
    <row r="394">
      <c r="A394" s="10" t="inlineStr">
        <is>
          <t>SP-0391</t>
        </is>
      </c>
      <c r="B394" s="11" t="n">
        <v>46159</v>
      </c>
      <c r="C394" s="10" t="inlineStr">
        <is>
          <t>Tháng 05/2026</t>
        </is>
      </c>
      <c r="D394" s="10" t="inlineStr">
        <is>
          <t>Quý 2</t>
        </is>
      </c>
      <c r="E394" s="5" t="inlineStr">
        <is>
          <t>Ban Thời sự - Chính trị</t>
        </is>
      </c>
      <c r="F394" s="5" t="inlineStr">
        <is>
          <t>Nhóm Thanh Tâm</t>
        </is>
      </c>
      <c r="G394" s="5" t="inlineStr">
        <is>
          <t>YouTube</t>
        </is>
      </c>
      <c r="H394" s="5" t="inlineStr">
        <is>
          <t>YouTube Documentary (&gt;25p)</t>
        </is>
      </c>
      <c r="I394" s="5" t="inlineStr">
        <is>
          <t>Kinh tế - Thị trường</t>
        </is>
      </c>
      <c r="J394" s="5" t="inlineStr">
        <is>
          <t>Hỗ trợ sâu (40%)</t>
        </is>
      </c>
      <c r="K394" s="12" t="n">
        <v>230693</v>
      </c>
      <c r="L394" s="12" t="n">
        <v>19493</v>
      </c>
      <c r="M394" s="13">
        <f>L394/K394</f>
        <v/>
      </c>
      <c r="N394" s="12" t="n">
        <v>316</v>
      </c>
      <c r="O394" s="13" t="n">
        <v>0.7433999999999999</v>
      </c>
      <c r="P394" s="12" t="n">
        <v>6550000</v>
      </c>
      <c r="Q394" s="12" t="n">
        <v>25950000</v>
      </c>
      <c r="R394" s="12">
        <f>Q394-P394</f>
        <v/>
      </c>
      <c r="S394" s="13">
        <f>(Q394-P394)/P394</f>
        <v/>
      </c>
      <c r="T394" s="10">
        <f>IF(AND(K394&gt;=50000, S394&gt;=0.35), "Vượt KPI", IF(AND(K394&gt;=20000, S394&gt;=0), "Đạt KPI", "Chưa đạt KPI"))</f>
        <v/>
      </c>
    </row>
    <row r="395">
      <c r="A395" s="14" t="inlineStr">
        <is>
          <t>SP-0392</t>
        </is>
      </c>
      <c r="B395" s="15" t="n">
        <v>46087</v>
      </c>
      <c r="C395" s="14" t="inlineStr">
        <is>
          <t>Tháng 03/2026</t>
        </is>
      </c>
      <c r="D395" s="14" t="inlineStr">
        <is>
          <t>Quý 1</t>
        </is>
      </c>
      <c r="E395" s="16" t="inlineStr">
        <is>
          <t>Ban Thời sự - Chính trị</t>
        </is>
      </c>
      <c r="F395" s="16" t="inlineStr">
        <is>
          <t>Nhóm Quang Huy</t>
        </is>
      </c>
      <c r="G395" s="16" t="inlineStr">
        <is>
          <t>TikTok</t>
        </is>
      </c>
      <c r="H395" s="16" t="inlineStr">
        <is>
          <t>Short Video (&lt;60s)</t>
        </is>
      </c>
      <c r="I395" s="16" t="inlineStr">
        <is>
          <t>Tài chính Cá nhân &amp; Đầu tư</t>
        </is>
      </c>
      <c r="J395" s="16" t="inlineStr">
        <is>
          <t>Thủ công (0%)</t>
        </is>
      </c>
      <c r="K395" s="17" t="n">
        <v>118551</v>
      </c>
      <c r="L395" s="17" t="n">
        <v>12175</v>
      </c>
      <c r="M395" s="18">
        <f>L395/K395</f>
        <v/>
      </c>
      <c r="N395" s="17" t="n">
        <v>31</v>
      </c>
      <c r="O395" s="18" t="n">
        <v>0.3624</v>
      </c>
      <c r="P395" s="17" t="n">
        <v>2750000</v>
      </c>
      <c r="Q395" s="17" t="n">
        <v>1800000</v>
      </c>
      <c r="R395" s="17">
        <f>Q395-P395</f>
        <v/>
      </c>
      <c r="S395" s="18">
        <f>(Q395-P395)/P395</f>
        <v/>
      </c>
      <c r="T395" s="14">
        <f>IF(AND(K395&gt;=50000, S395&gt;=0.35), "Vượt KPI", IF(AND(K395&gt;=20000, S395&gt;=0), "Đạt KPI", "Chưa đạt KPI"))</f>
        <v/>
      </c>
    </row>
    <row r="396">
      <c r="A396" s="10" t="inlineStr">
        <is>
          <t>SP-0393</t>
        </is>
      </c>
      <c r="B396" s="11" t="n">
        <v>46088</v>
      </c>
      <c r="C396" s="10" t="inlineStr">
        <is>
          <t>Tháng 03/2026</t>
        </is>
      </c>
      <c r="D396" s="10" t="inlineStr">
        <is>
          <t>Quý 1</t>
        </is>
      </c>
      <c r="E396" s="5" t="inlineStr">
        <is>
          <t>Ban Đời sống - Giới trẻ</t>
        </is>
      </c>
      <c r="F396" s="5" t="inlineStr">
        <is>
          <t>Nhóm Duy Khánh</t>
        </is>
      </c>
      <c r="G396" s="5" t="inlineStr">
        <is>
          <t>Podcast / Audio</t>
        </is>
      </c>
      <c r="H396" s="5" t="inlineStr">
        <is>
          <t>Podcast Chuyên sâu (20p)</t>
        </is>
      </c>
      <c r="I396" s="5" t="inlineStr">
        <is>
          <t>Kinh tế - Thị trường</t>
        </is>
      </c>
      <c r="J396" s="5" t="inlineStr">
        <is>
          <t>Hỗ trợ sâu (40%)</t>
        </is>
      </c>
      <c r="K396" s="12" t="n">
        <v>72696</v>
      </c>
      <c r="L396" s="12" t="n">
        <v>4841</v>
      </c>
      <c r="M396" s="13">
        <f>L396/K396</f>
        <v/>
      </c>
      <c r="N396" s="12" t="n">
        <v>232</v>
      </c>
      <c r="O396" s="13" t="n">
        <v>0.7366</v>
      </c>
      <c r="P396" s="12" t="n">
        <v>2200000</v>
      </c>
      <c r="Q396" s="12" t="n">
        <v>6100000</v>
      </c>
      <c r="R396" s="12">
        <f>Q396-P396</f>
        <v/>
      </c>
      <c r="S396" s="13">
        <f>(Q396-P396)/P396</f>
        <v/>
      </c>
      <c r="T396" s="10">
        <f>IF(AND(K396&gt;=50000, S396&gt;=0.35), "Vượt KPI", IF(AND(K396&gt;=20000, S396&gt;=0), "Đạt KPI", "Chưa đạt KPI"))</f>
        <v/>
      </c>
    </row>
    <row r="397">
      <c r="A397" s="14" t="inlineStr">
        <is>
          <t>SP-0394</t>
        </is>
      </c>
      <c r="B397" s="15" t="n">
        <v>46058</v>
      </c>
      <c r="C397" s="14" t="inlineStr">
        <is>
          <t>Tháng 02/2026</t>
        </is>
      </c>
      <c r="D397" s="14" t="inlineStr">
        <is>
          <t>Quý 1</t>
        </is>
      </c>
      <c r="E397" s="16" t="inlineStr">
        <is>
          <t>Ban Kinh tế - Tài chính</t>
        </is>
      </c>
      <c r="F397" s="16" t="inlineStr">
        <is>
          <t>Nhóm Minh Tuấn</t>
        </is>
      </c>
      <c r="G397" s="16" t="inlineStr">
        <is>
          <t>YouTube</t>
        </is>
      </c>
      <c r="H397" s="16" t="inlineStr">
        <is>
          <t>YouTube Long-form (10-25p)</t>
        </is>
      </c>
      <c r="I397" s="16" t="inlineStr">
        <is>
          <t>Kinh tế - Thị trường</t>
        </is>
      </c>
      <c r="J397" s="16" t="inlineStr">
        <is>
          <t>Hỗ trợ sâu (40%)</t>
        </is>
      </c>
      <c r="K397" s="17" t="n">
        <v>64358</v>
      </c>
      <c r="L397" s="17" t="n">
        <v>5303</v>
      </c>
      <c r="M397" s="18">
        <f>L397/K397</f>
        <v/>
      </c>
      <c r="N397" s="17" t="n">
        <v>741</v>
      </c>
      <c r="O397" s="18" t="n">
        <v>0.3713</v>
      </c>
      <c r="P397" s="17" t="n">
        <v>5550000</v>
      </c>
      <c r="Q397" s="17" t="n">
        <v>17000000</v>
      </c>
      <c r="R397" s="17">
        <f>Q397-P397</f>
        <v/>
      </c>
      <c r="S397" s="18">
        <f>(Q397-P397)/P397</f>
        <v/>
      </c>
      <c r="T397" s="14">
        <f>IF(AND(K397&gt;=50000, S397&gt;=0.35), "Vượt KPI", IF(AND(K397&gt;=20000, S397&gt;=0), "Đạt KPI", "Chưa đạt KPI"))</f>
        <v/>
      </c>
    </row>
    <row r="398">
      <c r="A398" s="10" t="inlineStr">
        <is>
          <t>SP-0395</t>
        </is>
      </c>
      <c r="B398" s="11" t="n">
        <v>46188</v>
      </c>
      <c r="C398" s="10" t="inlineStr">
        <is>
          <t>Tháng 06/2026</t>
        </is>
      </c>
      <c r="D398" s="10" t="inlineStr">
        <is>
          <t>Quý 2</t>
        </is>
      </c>
      <c r="E398" s="5" t="inlineStr">
        <is>
          <t>Ban Công nghệ &amp; AI</t>
        </is>
      </c>
      <c r="F398" s="5" t="inlineStr">
        <is>
          <t>Nhóm Tuấn Kiệt</t>
        </is>
      </c>
      <c r="G398" s="5" t="inlineStr">
        <is>
          <t>YouTube</t>
        </is>
      </c>
      <c r="H398" s="5" t="inlineStr">
        <is>
          <t>YouTube Documentary (&gt;25p)</t>
        </is>
      </c>
      <c r="I398" s="5" t="inlineStr">
        <is>
          <t>Kinh tế - Thị trường</t>
        </is>
      </c>
      <c r="J398" s="5" t="inlineStr">
        <is>
          <t>Cơ bản (15%)</t>
        </is>
      </c>
      <c r="K398" s="12" t="n">
        <v>33120</v>
      </c>
      <c r="L398" s="12" t="n">
        <v>751</v>
      </c>
      <c r="M398" s="13">
        <f>L398/K398</f>
        <v/>
      </c>
      <c r="N398" s="12" t="n">
        <v>336</v>
      </c>
      <c r="O398" s="13" t="n">
        <v>0.4899</v>
      </c>
      <c r="P398" s="12" t="n">
        <v>13550000</v>
      </c>
      <c r="Q398" s="12" t="n">
        <v>89100000</v>
      </c>
      <c r="R398" s="12">
        <f>Q398-P398</f>
        <v/>
      </c>
      <c r="S398" s="13">
        <f>(Q398-P398)/P398</f>
        <v/>
      </c>
      <c r="T398" s="10">
        <f>IF(AND(K398&gt;=50000, S398&gt;=0.35), "Vượt KPI", IF(AND(K398&gt;=20000, S398&gt;=0), "Đạt KPI", "Chưa đạt KPI"))</f>
        <v/>
      </c>
    </row>
    <row r="399">
      <c r="A399" s="14" t="inlineStr">
        <is>
          <t>SP-0396</t>
        </is>
      </c>
      <c r="B399" s="15" t="n">
        <v>46168</v>
      </c>
      <c r="C399" s="14" t="inlineStr">
        <is>
          <t>Tháng 05/2026</t>
        </is>
      </c>
      <c r="D399" s="14" t="inlineStr">
        <is>
          <t>Quý 2</t>
        </is>
      </c>
      <c r="E399" s="16" t="inlineStr">
        <is>
          <t>Ban Video &amp; Truyền hình số</t>
        </is>
      </c>
      <c r="F399" s="16" t="inlineStr">
        <is>
          <t>Nhóm Quốc Bảo</t>
        </is>
      </c>
      <c r="G399" s="16" t="inlineStr">
        <is>
          <t>TikTok</t>
        </is>
      </c>
      <c r="H399" s="16" t="inlineStr">
        <is>
          <t>Short Video (&lt;60s)</t>
        </is>
      </c>
      <c r="I399" s="16" t="inlineStr">
        <is>
          <t>Giáo dục &amp; Tuyển sinh</t>
        </is>
      </c>
      <c r="J399" s="16" t="inlineStr">
        <is>
          <t>Cơ bản (15%)</t>
        </is>
      </c>
      <c r="K399" s="17" t="n">
        <v>686267</v>
      </c>
      <c r="L399" s="17" t="n">
        <v>58950</v>
      </c>
      <c r="M399" s="18">
        <f>L399/K399</f>
        <v/>
      </c>
      <c r="N399" s="17" t="n">
        <v>78</v>
      </c>
      <c r="O399" s="18" t="n">
        <v>0.5652</v>
      </c>
      <c r="P399" s="17" t="n">
        <v>2950000</v>
      </c>
      <c r="Q399" s="17" t="n">
        <v>4250000</v>
      </c>
      <c r="R399" s="17">
        <f>Q399-P399</f>
        <v/>
      </c>
      <c r="S399" s="18">
        <f>(Q399-P399)/P399</f>
        <v/>
      </c>
      <c r="T399" s="14">
        <f>IF(AND(K399&gt;=50000, S399&gt;=0.35), "Vượt KPI", IF(AND(K399&gt;=20000, S399&gt;=0), "Đạt KPI", "Chưa đạt KPI"))</f>
        <v/>
      </c>
    </row>
    <row r="400">
      <c r="A400" s="10" t="inlineStr">
        <is>
          <t>SP-0397</t>
        </is>
      </c>
      <c r="B400" s="11" t="n">
        <v>46122</v>
      </c>
      <c r="C400" s="10" t="inlineStr">
        <is>
          <t>Tháng 04/2026</t>
        </is>
      </c>
      <c r="D400" s="10" t="inlineStr">
        <is>
          <t>Quý 2</t>
        </is>
      </c>
      <c r="E400" s="5" t="inlineStr">
        <is>
          <t>Ban Phóng sự - Điều tra</t>
        </is>
      </c>
      <c r="F400" s="5" t="inlineStr">
        <is>
          <t>Nhóm Hải Đăng</t>
        </is>
      </c>
      <c r="G400" s="5" t="inlineStr">
        <is>
          <t>Báo Điện tử (Web)</t>
        </is>
      </c>
      <c r="H400" s="5" t="inlineStr">
        <is>
          <t>Longform / E-magazine</t>
        </is>
      </c>
      <c r="I400" s="5" t="inlineStr">
        <is>
          <t>Phóng sự Điều tra</t>
        </is>
      </c>
      <c r="J400" s="5" t="inlineStr">
        <is>
          <t>Hỗ trợ sâu (40%)</t>
        </is>
      </c>
      <c r="K400" s="12" t="n">
        <v>243555</v>
      </c>
      <c r="L400" s="12" t="n">
        <v>21043</v>
      </c>
      <c r="M400" s="13">
        <f>L400/K400</f>
        <v/>
      </c>
      <c r="N400" s="12" t="n">
        <v>238</v>
      </c>
      <c r="O400" s="13" t="n">
        <v>0.5443</v>
      </c>
      <c r="P400" s="12" t="n">
        <v>2000000</v>
      </c>
      <c r="Q400" s="12" t="n">
        <v>8150000</v>
      </c>
      <c r="R400" s="12">
        <f>Q400-P400</f>
        <v/>
      </c>
      <c r="S400" s="13">
        <f>(Q400-P400)/P400</f>
        <v/>
      </c>
      <c r="T400" s="10">
        <f>IF(AND(K400&gt;=50000, S400&gt;=0.35), "Vượt KPI", IF(AND(K400&gt;=20000, S400&gt;=0), "Đạt KPI", "Chưa đạt KPI"))</f>
        <v/>
      </c>
    </row>
    <row r="401">
      <c r="A401" s="14" t="inlineStr">
        <is>
          <t>SP-0398</t>
        </is>
      </c>
      <c r="B401" s="15" t="n">
        <v>46144</v>
      </c>
      <c r="C401" s="14" t="inlineStr">
        <is>
          <t>Tháng 05/2026</t>
        </is>
      </c>
      <c r="D401" s="14" t="inlineStr">
        <is>
          <t>Quý 2</t>
        </is>
      </c>
      <c r="E401" s="16" t="inlineStr">
        <is>
          <t>Ban Phóng sự - Điều tra</t>
        </is>
      </c>
      <c r="F401" s="16" t="inlineStr">
        <is>
          <t>Nhóm Trọng Nghĩa</t>
        </is>
      </c>
      <c r="G401" s="16" t="inlineStr">
        <is>
          <t>TikTok</t>
        </is>
      </c>
      <c r="H401" s="16" t="inlineStr">
        <is>
          <t>TikTok Reel (1-3p)</t>
        </is>
      </c>
      <c r="I401" s="16" t="inlineStr">
        <is>
          <t>Chính sách &amp; Pháp luật</t>
        </is>
      </c>
      <c r="J401" s="16" t="inlineStr">
        <is>
          <t>Cơ bản (15%)</t>
        </is>
      </c>
      <c r="K401" s="17" t="n">
        <v>396531</v>
      </c>
      <c r="L401" s="17" t="n">
        <v>26131</v>
      </c>
      <c r="M401" s="18">
        <f>L401/K401</f>
        <v/>
      </c>
      <c r="N401" s="17" t="n">
        <v>37</v>
      </c>
      <c r="O401" s="18" t="n">
        <v>0.3893</v>
      </c>
      <c r="P401" s="17" t="n">
        <v>2550000</v>
      </c>
      <c r="Q401" s="17" t="n">
        <v>6300000</v>
      </c>
      <c r="R401" s="17">
        <f>Q401-P401</f>
        <v/>
      </c>
      <c r="S401" s="18">
        <f>(Q401-P401)/P401</f>
        <v/>
      </c>
      <c r="T401" s="14">
        <f>IF(AND(K401&gt;=50000, S401&gt;=0.35), "Vượt KPI", IF(AND(K401&gt;=20000, S401&gt;=0), "Đạt KPI", "Chưa đạt KPI"))</f>
        <v/>
      </c>
    </row>
    <row r="402">
      <c r="A402" s="10" t="inlineStr">
        <is>
          <t>SP-0399</t>
        </is>
      </c>
      <c r="B402" s="11" t="n">
        <v>46098</v>
      </c>
      <c r="C402" s="10" t="inlineStr">
        <is>
          <t>Tháng 03/2026</t>
        </is>
      </c>
      <c r="D402" s="10" t="inlineStr">
        <is>
          <t>Quý 1</t>
        </is>
      </c>
      <c r="E402" s="5" t="inlineStr">
        <is>
          <t>Ban Công nghệ &amp; AI</t>
        </is>
      </c>
      <c r="F402" s="5" t="inlineStr">
        <is>
          <t>Nhóm Gia Hưng</t>
        </is>
      </c>
      <c r="G402" s="5" t="inlineStr">
        <is>
          <t>Facebook Page</t>
        </is>
      </c>
      <c r="H402" s="5" t="inlineStr">
        <is>
          <t>Video Bản tin (3-5p)</t>
        </is>
      </c>
      <c r="I402" s="5" t="inlineStr">
        <is>
          <t>Kinh tế - Thị trường</t>
        </is>
      </c>
      <c r="J402" s="5" t="inlineStr">
        <is>
          <t>Cơ bản (15%)</t>
        </is>
      </c>
      <c r="K402" s="12" t="n">
        <v>422129</v>
      </c>
      <c r="L402" s="12" t="n">
        <v>29211</v>
      </c>
      <c r="M402" s="13">
        <f>L402/K402</f>
        <v/>
      </c>
      <c r="N402" s="12" t="n">
        <v>167</v>
      </c>
      <c r="O402" s="13" t="n">
        <v>0.6167</v>
      </c>
      <c r="P402" s="12" t="n">
        <v>3650000</v>
      </c>
      <c r="Q402" s="12" t="n">
        <v>18750000</v>
      </c>
      <c r="R402" s="12">
        <f>Q402-P402</f>
        <v/>
      </c>
      <c r="S402" s="13">
        <f>(Q402-P402)/P402</f>
        <v/>
      </c>
      <c r="T402" s="10">
        <f>IF(AND(K402&gt;=50000, S402&gt;=0.35), "Vượt KPI", IF(AND(K402&gt;=20000, S402&gt;=0), "Đạt KPI", "Chưa đạt KPI"))</f>
        <v/>
      </c>
    </row>
    <row r="403">
      <c r="A403" s="14" t="inlineStr">
        <is>
          <t>SP-0400</t>
        </is>
      </c>
      <c r="B403" s="15" t="n">
        <v>46157</v>
      </c>
      <c r="C403" s="14" t="inlineStr">
        <is>
          <t>Tháng 05/2026</t>
        </is>
      </c>
      <c r="D403" s="14" t="inlineStr">
        <is>
          <t>Quý 2</t>
        </is>
      </c>
      <c r="E403" s="16" t="inlineStr">
        <is>
          <t>Ban Đời sống - Giới trẻ</t>
        </is>
      </c>
      <c r="F403" s="16" t="inlineStr">
        <is>
          <t>Nhóm Duy Khánh</t>
        </is>
      </c>
      <c r="G403" s="16" t="inlineStr">
        <is>
          <t>Facebook Page</t>
        </is>
      </c>
      <c r="H403" s="16" t="inlineStr">
        <is>
          <t>Video Bản tin (3-5p)</t>
        </is>
      </c>
      <c r="I403" s="16" t="inlineStr">
        <is>
          <t>Kinh tế - Thị trường</t>
        </is>
      </c>
      <c r="J403" s="16" t="inlineStr">
        <is>
          <t>Hỗ trợ sâu (40%)</t>
        </is>
      </c>
      <c r="K403" s="17" t="n">
        <v>477589</v>
      </c>
      <c r="L403" s="17" t="n">
        <v>32523</v>
      </c>
      <c r="M403" s="18">
        <f>L403/K403</f>
        <v/>
      </c>
      <c r="N403" s="17" t="n">
        <v>175</v>
      </c>
      <c r="O403" s="18" t="n">
        <v>0.3923</v>
      </c>
      <c r="P403" s="17" t="n">
        <v>950000</v>
      </c>
      <c r="Q403" s="17" t="n">
        <v>3450000</v>
      </c>
      <c r="R403" s="17">
        <f>Q403-P403</f>
        <v/>
      </c>
      <c r="S403" s="18">
        <f>(Q403-P403)/P403</f>
        <v/>
      </c>
      <c r="T403" s="14">
        <f>IF(AND(K403&gt;=50000, S403&gt;=0.35), "Vượt KPI", IF(AND(K403&gt;=20000, S403&gt;=0), "Đạt KPI", "Chưa đạt KPI"))</f>
        <v/>
      </c>
    </row>
    <row r="404">
      <c r="A404" s="10" t="inlineStr">
        <is>
          <t>SP-0401</t>
        </is>
      </c>
      <c r="B404" s="11" t="n">
        <v>46176</v>
      </c>
      <c r="C404" s="10" t="inlineStr">
        <is>
          <t>Tháng 06/2026</t>
        </is>
      </c>
      <c r="D404" s="10" t="inlineStr">
        <is>
          <t>Quý 2</t>
        </is>
      </c>
      <c r="E404" s="5" t="inlineStr">
        <is>
          <t>Ban Kinh tế - Tài chính</t>
        </is>
      </c>
      <c r="F404" s="5" t="inlineStr">
        <is>
          <t>Nhóm Minh Tuấn</t>
        </is>
      </c>
      <c r="G404" s="5" t="inlineStr">
        <is>
          <t>Báo Điện tử (Web)</t>
        </is>
      </c>
      <c r="H404" s="5" t="inlineStr">
        <is>
          <t>Infographic / Mega Story</t>
        </is>
      </c>
      <c r="I404" s="5" t="inlineStr">
        <is>
          <t>Tài chính Cá nhân &amp; Đầu tư</t>
        </is>
      </c>
      <c r="J404" s="5" t="inlineStr">
        <is>
          <t>Toàn trình (70%)</t>
        </is>
      </c>
      <c r="K404" s="12" t="n">
        <v>46658</v>
      </c>
      <c r="L404" s="12" t="n">
        <v>4068</v>
      </c>
      <c r="M404" s="13">
        <f>L404/K404</f>
        <v/>
      </c>
      <c r="N404" s="12" t="n">
        <v>246</v>
      </c>
      <c r="O404" s="13" t="n">
        <v>0.7635</v>
      </c>
      <c r="P404" s="12" t="n">
        <v>1650000</v>
      </c>
      <c r="Q404" s="12" t="n">
        <v>6850000</v>
      </c>
      <c r="R404" s="12">
        <f>Q404-P404</f>
        <v/>
      </c>
      <c r="S404" s="13">
        <f>(Q404-P404)/P404</f>
        <v/>
      </c>
      <c r="T404" s="10">
        <f>IF(AND(K404&gt;=50000, S404&gt;=0.35), "Vượt KPI", IF(AND(K404&gt;=20000, S404&gt;=0), "Đạt KPI", "Chưa đạt KPI"))</f>
        <v/>
      </c>
    </row>
    <row r="405">
      <c r="A405" s="14" t="inlineStr">
        <is>
          <t>SP-0402</t>
        </is>
      </c>
      <c r="B405" s="15" t="n">
        <v>46108</v>
      </c>
      <c r="C405" s="14" t="inlineStr">
        <is>
          <t>Tháng 03/2026</t>
        </is>
      </c>
      <c r="D405" s="14" t="inlineStr">
        <is>
          <t>Quý 1</t>
        </is>
      </c>
      <c r="E405" s="16" t="inlineStr">
        <is>
          <t>Ban Video &amp; Truyền hình số</t>
        </is>
      </c>
      <c r="F405" s="16" t="inlineStr">
        <is>
          <t>Nhóm Hoàng Hải</t>
        </is>
      </c>
      <c r="G405" s="16" t="inlineStr">
        <is>
          <t>YouTube</t>
        </is>
      </c>
      <c r="H405" s="16" t="inlineStr">
        <is>
          <t>YouTube Documentary (&gt;25p)</t>
        </is>
      </c>
      <c r="I405" s="16" t="inlineStr">
        <is>
          <t>Phóng sự Điều tra</t>
        </is>
      </c>
      <c r="J405" s="16" t="inlineStr">
        <is>
          <t>Toàn trình (70%)</t>
        </is>
      </c>
      <c r="K405" s="17" t="n">
        <v>431082</v>
      </c>
      <c r="L405" s="17" t="n">
        <v>33236</v>
      </c>
      <c r="M405" s="18">
        <f>L405/K405</f>
        <v/>
      </c>
      <c r="N405" s="17" t="n">
        <v>315</v>
      </c>
      <c r="O405" s="18" t="n">
        <v>0.7543</v>
      </c>
      <c r="P405" s="17" t="n">
        <v>16200000</v>
      </c>
      <c r="Q405" s="17" t="n">
        <v>36750000</v>
      </c>
      <c r="R405" s="17">
        <f>Q405-P405</f>
        <v/>
      </c>
      <c r="S405" s="18">
        <f>(Q405-P405)/P405</f>
        <v/>
      </c>
      <c r="T405" s="14">
        <f>IF(AND(K405&gt;=50000, S405&gt;=0.35), "Vượt KPI", IF(AND(K405&gt;=20000, S405&gt;=0), "Đạt KPI", "Chưa đạt KPI"))</f>
        <v/>
      </c>
    </row>
    <row r="406">
      <c r="A406" s="10" t="inlineStr">
        <is>
          <t>SP-0403</t>
        </is>
      </c>
      <c r="B406" s="11" t="n">
        <v>46162</v>
      </c>
      <c r="C406" s="10" t="inlineStr">
        <is>
          <t>Tháng 05/2026</t>
        </is>
      </c>
      <c r="D406" s="10" t="inlineStr">
        <is>
          <t>Quý 2</t>
        </is>
      </c>
      <c r="E406" s="5" t="inlineStr">
        <is>
          <t>Ban Video &amp; Truyền hình số</t>
        </is>
      </c>
      <c r="F406" s="5" t="inlineStr">
        <is>
          <t>Nhóm Thu Trang</t>
        </is>
      </c>
      <c r="G406" s="5" t="inlineStr">
        <is>
          <t>TikTok</t>
        </is>
      </c>
      <c r="H406" s="5" t="inlineStr">
        <is>
          <t>TikTok Reel (1-3p)</t>
        </is>
      </c>
      <c r="I406" s="5" t="inlineStr">
        <is>
          <t>Giáo dục &amp; Tuyển sinh</t>
        </is>
      </c>
      <c r="J406" s="5" t="inlineStr">
        <is>
          <t>Hỗ trợ sâu (40%)</t>
        </is>
      </c>
      <c r="K406" s="12" t="n">
        <v>1154061</v>
      </c>
      <c r="L406" s="12" t="n">
        <v>101557</v>
      </c>
      <c r="M406" s="13">
        <f>L406/K406</f>
        <v/>
      </c>
      <c r="N406" s="12" t="n">
        <v>46</v>
      </c>
      <c r="O406" s="13" t="n">
        <v>0.3538</v>
      </c>
      <c r="P406" s="12" t="n">
        <v>1800000</v>
      </c>
      <c r="Q406" s="12" t="n">
        <v>5950000</v>
      </c>
      <c r="R406" s="12">
        <f>Q406-P406</f>
        <v/>
      </c>
      <c r="S406" s="13">
        <f>(Q406-P406)/P406</f>
        <v/>
      </c>
      <c r="T406" s="10">
        <f>IF(AND(K406&gt;=50000, S406&gt;=0.35), "Vượt KPI", IF(AND(K406&gt;=20000, S406&gt;=0), "Đạt KPI", "Chưa đạt KPI"))</f>
        <v/>
      </c>
    </row>
    <row r="407">
      <c r="A407" s="14" t="inlineStr">
        <is>
          <t>SP-0404</t>
        </is>
      </c>
      <c r="B407" s="15" t="n">
        <v>46084</v>
      </c>
      <c r="C407" s="14" t="inlineStr">
        <is>
          <t>Tháng 03/2026</t>
        </is>
      </c>
      <c r="D407" s="14" t="inlineStr">
        <is>
          <t>Quý 1</t>
        </is>
      </c>
      <c r="E407" s="16" t="inlineStr">
        <is>
          <t>Ban Đời sống - Giới trẻ</t>
        </is>
      </c>
      <c r="F407" s="16" t="inlineStr">
        <is>
          <t>Nhóm Phương Thảo</t>
        </is>
      </c>
      <c r="G407" s="16" t="inlineStr">
        <is>
          <t>TikTok</t>
        </is>
      </c>
      <c r="H407" s="16" t="inlineStr">
        <is>
          <t>TikTok Reel (1-3p)</t>
        </is>
      </c>
      <c r="I407" s="16" t="inlineStr">
        <is>
          <t>Công nghệ &amp; AI</t>
        </is>
      </c>
      <c r="J407" s="16" t="inlineStr">
        <is>
          <t>Hỗ trợ sâu (40%)</t>
        </is>
      </c>
      <c r="K407" s="17" t="n">
        <v>1038047</v>
      </c>
      <c r="L407" s="17" t="n">
        <v>83562</v>
      </c>
      <c r="M407" s="18">
        <f>L407/K407</f>
        <v/>
      </c>
      <c r="N407" s="17" t="n">
        <v>51</v>
      </c>
      <c r="O407" s="18" t="n">
        <v>0.6293</v>
      </c>
      <c r="P407" s="17" t="n">
        <v>2050000</v>
      </c>
      <c r="Q407" s="17" t="n">
        <v>6550000</v>
      </c>
      <c r="R407" s="17">
        <f>Q407-P407</f>
        <v/>
      </c>
      <c r="S407" s="18">
        <f>(Q407-P407)/P407</f>
        <v/>
      </c>
      <c r="T407" s="14">
        <f>IF(AND(K407&gt;=50000, S407&gt;=0.35), "Vượt KPI", IF(AND(K407&gt;=20000, S407&gt;=0), "Đạt KPI", "Chưa đạt KPI"))</f>
        <v/>
      </c>
    </row>
    <row r="408">
      <c r="A408" s="10" t="inlineStr">
        <is>
          <t>SP-0405</t>
        </is>
      </c>
      <c r="B408" s="11" t="n">
        <v>46026</v>
      </c>
      <c r="C408" s="10" t="inlineStr">
        <is>
          <t>Tháng 01/2026</t>
        </is>
      </c>
      <c r="D408" s="10" t="inlineStr">
        <is>
          <t>Quý 1</t>
        </is>
      </c>
      <c r="E408" s="5" t="inlineStr">
        <is>
          <t>Ban Video &amp; Truyền hình số</t>
        </is>
      </c>
      <c r="F408" s="5" t="inlineStr">
        <is>
          <t>Nhóm Đặng Minh</t>
        </is>
      </c>
      <c r="G408" s="5" t="inlineStr">
        <is>
          <t>Báo Điện tử (Web)</t>
        </is>
      </c>
      <c r="H408" s="5" t="inlineStr">
        <is>
          <t>Tin bài Đa phương tiện</t>
        </is>
      </c>
      <c r="I408" s="5" t="inlineStr">
        <is>
          <t>Kinh tế - Thị trường</t>
        </is>
      </c>
      <c r="J408" s="5" t="inlineStr">
        <is>
          <t>Cơ bản (15%)</t>
        </is>
      </c>
      <c r="K408" s="12" t="n">
        <v>132981</v>
      </c>
      <c r="L408" s="12" t="n">
        <v>10984</v>
      </c>
      <c r="M408" s="13">
        <f>L408/K408</f>
        <v/>
      </c>
      <c r="N408" s="12" t="n">
        <v>191</v>
      </c>
      <c r="O408" s="13" t="n">
        <v>0.3477</v>
      </c>
      <c r="P408" s="12" t="n">
        <v>3900000</v>
      </c>
      <c r="Q408" s="12" t="n">
        <v>10100000</v>
      </c>
      <c r="R408" s="12">
        <f>Q408-P408</f>
        <v/>
      </c>
      <c r="S408" s="13">
        <f>(Q408-P408)/P408</f>
        <v/>
      </c>
      <c r="T408" s="10">
        <f>IF(AND(K408&gt;=50000, S408&gt;=0.35), "Vượt KPI", IF(AND(K408&gt;=20000, S408&gt;=0), "Đạt KPI", "Chưa đạt KPI"))</f>
        <v/>
      </c>
    </row>
    <row r="409">
      <c r="A409" s="14" t="inlineStr">
        <is>
          <t>SP-0406</t>
        </is>
      </c>
      <c r="B409" s="15" t="n">
        <v>46191</v>
      </c>
      <c r="C409" s="14" t="inlineStr">
        <is>
          <t>Tháng 06/2026</t>
        </is>
      </c>
      <c r="D409" s="14" t="inlineStr">
        <is>
          <t>Quý 2</t>
        </is>
      </c>
      <c r="E409" s="16" t="inlineStr">
        <is>
          <t>Ban Video &amp; Truyền hình số</t>
        </is>
      </c>
      <c r="F409" s="16" t="inlineStr">
        <is>
          <t>Nhóm Hoàng Hải</t>
        </is>
      </c>
      <c r="G409" s="16" t="inlineStr">
        <is>
          <t>TikTok</t>
        </is>
      </c>
      <c r="H409" s="16" t="inlineStr">
        <is>
          <t>TikTok Reel (1-3p)</t>
        </is>
      </c>
      <c r="I409" s="16" t="inlineStr">
        <is>
          <t>Kinh tế - Thị trường</t>
        </is>
      </c>
      <c r="J409" s="16" t="inlineStr">
        <is>
          <t>Hỗ trợ sâu (40%)</t>
        </is>
      </c>
      <c r="K409" s="17" t="n">
        <v>902732</v>
      </c>
      <c r="L409" s="17" t="n">
        <v>61114</v>
      </c>
      <c r="M409" s="18">
        <f>L409/K409</f>
        <v/>
      </c>
      <c r="N409" s="17" t="n">
        <v>85</v>
      </c>
      <c r="O409" s="18" t="n">
        <v>0.7114</v>
      </c>
      <c r="P409" s="17" t="n">
        <v>2250000</v>
      </c>
      <c r="Q409" s="17" t="n">
        <v>11050000</v>
      </c>
      <c r="R409" s="17">
        <f>Q409-P409</f>
        <v/>
      </c>
      <c r="S409" s="18">
        <f>(Q409-P409)/P409</f>
        <v/>
      </c>
      <c r="T409" s="14">
        <f>IF(AND(K409&gt;=50000, S409&gt;=0.35), "Vượt KPI", IF(AND(K409&gt;=20000, S409&gt;=0), "Đạt KPI", "Chưa đạt KPI"))</f>
        <v/>
      </c>
    </row>
    <row r="410">
      <c r="A410" s="10" t="inlineStr">
        <is>
          <t>SP-0407</t>
        </is>
      </c>
      <c r="B410" s="11" t="n">
        <v>46192</v>
      </c>
      <c r="C410" s="10" t="inlineStr">
        <is>
          <t>Tháng 06/2026</t>
        </is>
      </c>
      <c r="D410" s="10" t="inlineStr">
        <is>
          <t>Quý 2</t>
        </is>
      </c>
      <c r="E410" s="5" t="inlineStr">
        <is>
          <t>Ban Công nghệ &amp; AI</t>
        </is>
      </c>
      <c r="F410" s="5" t="inlineStr">
        <is>
          <t>Nhóm Tuấn Kiệt</t>
        </is>
      </c>
      <c r="G410" s="5" t="inlineStr">
        <is>
          <t>TikTok</t>
        </is>
      </c>
      <c r="H410" s="5" t="inlineStr">
        <is>
          <t>TikTok Reel (1-3p)</t>
        </is>
      </c>
      <c r="I410" s="5" t="inlineStr">
        <is>
          <t>Kinh tế - Thị trường</t>
        </is>
      </c>
      <c r="J410" s="5" t="inlineStr">
        <is>
          <t>Toàn trình (70%)</t>
        </is>
      </c>
      <c r="K410" s="12" t="n">
        <v>158521</v>
      </c>
      <c r="L410" s="12" t="n">
        <v>15978</v>
      </c>
      <c r="M410" s="13">
        <f>L410/K410</f>
        <v/>
      </c>
      <c r="N410" s="12" t="n">
        <v>92</v>
      </c>
      <c r="O410" s="13" t="n">
        <v>0.3817</v>
      </c>
      <c r="P410" s="12" t="n">
        <v>1100000</v>
      </c>
      <c r="Q410" s="12" t="n">
        <v>2500000</v>
      </c>
      <c r="R410" s="12">
        <f>Q410-P410</f>
        <v/>
      </c>
      <c r="S410" s="13">
        <f>(Q410-P410)/P410</f>
        <v/>
      </c>
      <c r="T410" s="10">
        <f>IF(AND(K410&gt;=50000, S410&gt;=0.35), "Vượt KPI", IF(AND(K410&gt;=20000, S410&gt;=0), "Đạt KPI", "Chưa đạt KPI"))</f>
        <v/>
      </c>
    </row>
    <row r="411">
      <c r="A411" s="14" t="inlineStr">
        <is>
          <t>SP-0408</t>
        </is>
      </c>
      <c r="B411" s="15" t="n">
        <v>46086</v>
      </c>
      <c r="C411" s="14" t="inlineStr">
        <is>
          <t>Tháng 03/2026</t>
        </is>
      </c>
      <c r="D411" s="14" t="inlineStr">
        <is>
          <t>Quý 1</t>
        </is>
      </c>
      <c r="E411" s="16" t="inlineStr">
        <is>
          <t>Ban Kinh tế - Tài chính</t>
        </is>
      </c>
      <c r="F411" s="16" t="inlineStr">
        <is>
          <t>Nhóm Minh Tuấn</t>
        </is>
      </c>
      <c r="G411" s="16" t="inlineStr">
        <is>
          <t>YouTube</t>
        </is>
      </c>
      <c r="H411" s="16" t="inlineStr">
        <is>
          <t>YouTube Long-form (10-25p)</t>
        </is>
      </c>
      <c r="I411" s="16" t="inlineStr">
        <is>
          <t>Chính sách &amp; Pháp luật</t>
        </is>
      </c>
      <c r="J411" s="16" t="inlineStr">
        <is>
          <t>Hỗ trợ sâu (40%)</t>
        </is>
      </c>
      <c r="K411" s="17" t="n">
        <v>690931</v>
      </c>
      <c r="L411" s="17" t="n">
        <v>56379</v>
      </c>
      <c r="M411" s="18">
        <f>L411/K411</f>
        <v/>
      </c>
      <c r="N411" s="17" t="n">
        <v>115</v>
      </c>
      <c r="O411" s="18" t="n">
        <v>0.5479000000000001</v>
      </c>
      <c r="P411" s="17" t="n">
        <v>4500000</v>
      </c>
      <c r="Q411" s="17" t="n">
        <v>13100000</v>
      </c>
      <c r="R411" s="17">
        <f>Q411-P411</f>
        <v/>
      </c>
      <c r="S411" s="18">
        <f>(Q411-P411)/P411</f>
        <v/>
      </c>
      <c r="T411" s="14">
        <f>IF(AND(K411&gt;=50000, S411&gt;=0.35), "Vượt KPI", IF(AND(K411&gt;=20000, S411&gt;=0), "Đạt KPI", "Chưa đạt KPI"))</f>
        <v/>
      </c>
    </row>
    <row r="412">
      <c r="A412" s="10" t="inlineStr">
        <is>
          <t>SP-0409</t>
        </is>
      </c>
      <c r="B412" s="11" t="n">
        <v>46062</v>
      </c>
      <c r="C412" s="10" t="inlineStr">
        <is>
          <t>Tháng 02/2026</t>
        </is>
      </c>
      <c r="D412" s="10" t="inlineStr">
        <is>
          <t>Quý 1</t>
        </is>
      </c>
      <c r="E412" s="5" t="inlineStr">
        <is>
          <t>Ban Phóng sự - Điều tra</t>
        </is>
      </c>
      <c r="F412" s="5" t="inlineStr">
        <is>
          <t>Nhóm Trọng Nghĩa</t>
        </is>
      </c>
      <c r="G412" s="5" t="inlineStr">
        <is>
          <t>TikTok</t>
        </is>
      </c>
      <c r="H412" s="5" t="inlineStr">
        <is>
          <t>TikTok Reel (1-3p)</t>
        </is>
      </c>
      <c r="I412" s="5" t="inlineStr">
        <is>
          <t>Đời sống - Xã hội</t>
        </is>
      </c>
      <c r="J412" s="5" t="inlineStr">
        <is>
          <t>Thủ công (0%)</t>
        </is>
      </c>
      <c r="K412" s="12" t="n">
        <v>534862</v>
      </c>
      <c r="L412" s="12" t="n">
        <v>55839</v>
      </c>
      <c r="M412" s="13">
        <f>L412/K412</f>
        <v/>
      </c>
      <c r="N412" s="12" t="n">
        <v>26</v>
      </c>
      <c r="O412" s="13" t="n">
        <v>0.3372</v>
      </c>
      <c r="P412" s="12" t="n">
        <v>4000000</v>
      </c>
      <c r="Q412" s="12" t="n">
        <v>10200000</v>
      </c>
      <c r="R412" s="12">
        <f>Q412-P412</f>
        <v/>
      </c>
      <c r="S412" s="13">
        <f>(Q412-P412)/P412</f>
        <v/>
      </c>
      <c r="T412" s="10">
        <f>IF(AND(K412&gt;=50000, S412&gt;=0.35), "Vượt KPI", IF(AND(K412&gt;=20000, S412&gt;=0), "Đạt KPI", "Chưa đạt KPI"))</f>
        <v/>
      </c>
    </row>
    <row r="413">
      <c r="A413" s="14" t="inlineStr">
        <is>
          <t>SP-0410</t>
        </is>
      </c>
      <c r="B413" s="15" t="n">
        <v>46145</v>
      </c>
      <c r="C413" s="14" t="inlineStr">
        <is>
          <t>Tháng 05/2026</t>
        </is>
      </c>
      <c r="D413" s="14" t="inlineStr">
        <is>
          <t>Quý 2</t>
        </is>
      </c>
      <c r="E413" s="16" t="inlineStr">
        <is>
          <t>Ban Thời sự - Chính trị</t>
        </is>
      </c>
      <c r="F413" s="16" t="inlineStr">
        <is>
          <t>Nhóm Thanh Tâm</t>
        </is>
      </c>
      <c r="G413" s="16" t="inlineStr">
        <is>
          <t>TikTok</t>
        </is>
      </c>
      <c r="H413" s="16" t="inlineStr">
        <is>
          <t>TikTok Reel (1-3p)</t>
        </is>
      </c>
      <c r="I413" s="16" t="inlineStr">
        <is>
          <t>Tài chính Cá nhân &amp; Đầu tư</t>
        </is>
      </c>
      <c r="J413" s="16" t="inlineStr">
        <is>
          <t>Toàn trình (70%)</t>
        </is>
      </c>
      <c r="K413" s="17" t="n">
        <v>714553</v>
      </c>
      <c r="L413" s="17" t="n">
        <v>38157</v>
      </c>
      <c r="M413" s="18">
        <f>L413/K413</f>
        <v/>
      </c>
      <c r="N413" s="17" t="n">
        <v>66</v>
      </c>
      <c r="O413" s="18" t="n">
        <v>0.6274999999999999</v>
      </c>
      <c r="P413" s="17" t="n">
        <v>850000</v>
      </c>
      <c r="Q413" s="17" t="n">
        <v>2450000</v>
      </c>
      <c r="R413" s="17">
        <f>Q413-P413</f>
        <v/>
      </c>
      <c r="S413" s="18">
        <f>(Q413-P413)/P413</f>
        <v/>
      </c>
      <c r="T413" s="14">
        <f>IF(AND(K413&gt;=50000, S413&gt;=0.35), "Vượt KPI", IF(AND(K413&gt;=20000, S413&gt;=0), "Đạt KPI", "Chưa đạt KPI"))</f>
        <v/>
      </c>
    </row>
    <row r="414">
      <c r="A414" s="10" t="inlineStr">
        <is>
          <t>SP-0411</t>
        </is>
      </c>
      <c r="B414" s="11" t="n">
        <v>46137</v>
      </c>
      <c r="C414" s="10" t="inlineStr">
        <is>
          <t>Tháng 04/2026</t>
        </is>
      </c>
      <c r="D414" s="10" t="inlineStr">
        <is>
          <t>Quý 2</t>
        </is>
      </c>
      <c r="E414" s="5" t="inlineStr">
        <is>
          <t>Ban Video &amp; Truyền hình số</t>
        </is>
      </c>
      <c r="F414" s="5" t="inlineStr">
        <is>
          <t>Nhóm Thu Trang</t>
        </is>
      </c>
      <c r="G414" s="5" t="inlineStr">
        <is>
          <t>Báo Điện tử (Web)</t>
        </is>
      </c>
      <c r="H414" s="5" t="inlineStr">
        <is>
          <t>Longform / E-magazine</t>
        </is>
      </c>
      <c r="I414" s="5" t="inlineStr">
        <is>
          <t>Tài chính Cá nhân &amp; Đầu tư</t>
        </is>
      </c>
      <c r="J414" s="5" t="inlineStr">
        <is>
          <t>Toàn trình (70%)</t>
        </is>
      </c>
      <c r="K414" s="12" t="n">
        <v>36749</v>
      </c>
      <c r="L414" s="12" t="n">
        <v>2418</v>
      </c>
      <c r="M414" s="13">
        <f>L414/K414</f>
        <v/>
      </c>
      <c r="N414" s="12" t="n">
        <v>112</v>
      </c>
      <c r="O414" s="13" t="n">
        <v>0.7012</v>
      </c>
      <c r="P414" s="12" t="n">
        <v>1600000</v>
      </c>
      <c r="Q414" s="12" t="n">
        <v>3000000</v>
      </c>
      <c r="R414" s="12">
        <f>Q414-P414</f>
        <v/>
      </c>
      <c r="S414" s="13">
        <f>(Q414-P414)/P414</f>
        <v/>
      </c>
      <c r="T414" s="10">
        <f>IF(AND(K414&gt;=50000, S414&gt;=0.35), "Vượt KPI", IF(AND(K414&gt;=20000, S414&gt;=0), "Đạt KPI", "Chưa đạt KPI"))</f>
        <v/>
      </c>
    </row>
    <row r="415">
      <c r="A415" s="14" t="inlineStr">
        <is>
          <t>SP-0412</t>
        </is>
      </c>
      <c r="B415" s="15" t="n">
        <v>46084</v>
      </c>
      <c r="C415" s="14" t="inlineStr">
        <is>
          <t>Tháng 03/2026</t>
        </is>
      </c>
      <c r="D415" s="14" t="inlineStr">
        <is>
          <t>Quý 1</t>
        </is>
      </c>
      <c r="E415" s="16" t="inlineStr">
        <is>
          <t>Ban Đời sống - Giới trẻ</t>
        </is>
      </c>
      <c r="F415" s="16" t="inlineStr">
        <is>
          <t>Nhóm Phương Thảo</t>
        </is>
      </c>
      <c r="G415" s="16" t="inlineStr">
        <is>
          <t>Facebook Page</t>
        </is>
      </c>
      <c r="H415" s="16" t="inlineStr">
        <is>
          <t>Facebook Reels</t>
        </is>
      </c>
      <c r="I415" s="16" t="inlineStr">
        <is>
          <t>Đời sống - Xã hội</t>
        </is>
      </c>
      <c r="J415" s="16" t="inlineStr">
        <is>
          <t>Hỗ trợ sâu (40%)</t>
        </is>
      </c>
      <c r="K415" s="17" t="n">
        <v>161424</v>
      </c>
      <c r="L415" s="17" t="n">
        <v>9459</v>
      </c>
      <c r="M415" s="18">
        <f>L415/K415</f>
        <v/>
      </c>
      <c r="N415" s="17" t="n">
        <v>79</v>
      </c>
      <c r="O415" s="18" t="n">
        <v>0.3591</v>
      </c>
      <c r="P415" s="17" t="n">
        <v>1350000</v>
      </c>
      <c r="Q415" s="17" t="n">
        <v>3100000</v>
      </c>
      <c r="R415" s="17">
        <f>Q415-P415</f>
        <v/>
      </c>
      <c r="S415" s="18">
        <f>(Q415-P415)/P415</f>
        <v/>
      </c>
      <c r="T415" s="14">
        <f>IF(AND(K415&gt;=50000, S415&gt;=0.35), "Vượt KPI", IF(AND(K415&gt;=20000, S415&gt;=0), "Đạt KPI", "Chưa đạt KPI"))</f>
        <v/>
      </c>
    </row>
    <row r="416">
      <c r="A416" s="10" t="inlineStr">
        <is>
          <t>SP-0413</t>
        </is>
      </c>
      <c r="B416" s="11" t="n">
        <v>46047</v>
      </c>
      <c r="C416" s="10" t="inlineStr">
        <is>
          <t>Tháng 01/2026</t>
        </is>
      </c>
      <c r="D416" s="10" t="inlineStr">
        <is>
          <t>Quý 1</t>
        </is>
      </c>
      <c r="E416" s="5" t="inlineStr">
        <is>
          <t>Ban Đời sống - Giới trẻ</t>
        </is>
      </c>
      <c r="F416" s="5" t="inlineStr">
        <is>
          <t>Nhóm Duy Khánh</t>
        </is>
      </c>
      <c r="G416" s="5" t="inlineStr">
        <is>
          <t>YouTube</t>
        </is>
      </c>
      <c r="H416" s="5" t="inlineStr">
        <is>
          <t>YouTube Documentary (&gt;25p)</t>
        </is>
      </c>
      <c r="I416" s="5" t="inlineStr">
        <is>
          <t>Kinh tế - Thị trường</t>
        </is>
      </c>
      <c r="J416" s="5" t="inlineStr">
        <is>
          <t>Cơ bản (15%)</t>
        </is>
      </c>
      <c r="K416" s="12" t="n">
        <v>196092</v>
      </c>
      <c r="L416" s="12" t="n">
        <v>9843</v>
      </c>
      <c r="M416" s="13">
        <f>L416/K416</f>
        <v/>
      </c>
      <c r="N416" s="12" t="n">
        <v>225</v>
      </c>
      <c r="O416" s="13" t="n">
        <v>0.6607</v>
      </c>
      <c r="P416" s="12" t="n">
        <v>21850000</v>
      </c>
      <c r="Q416" s="12" t="n">
        <v>12550000</v>
      </c>
      <c r="R416" s="12">
        <f>Q416-P416</f>
        <v/>
      </c>
      <c r="S416" s="13">
        <f>(Q416-P416)/P416</f>
        <v/>
      </c>
      <c r="T416" s="10">
        <f>IF(AND(K416&gt;=50000, S416&gt;=0.35), "Vượt KPI", IF(AND(K416&gt;=20000, S416&gt;=0), "Đạt KPI", "Chưa đạt KPI"))</f>
        <v/>
      </c>
    </row>
    <row r="417">
      <c r="A417" s="14" t="inlineStr">
        <is>
          <t>SP-0414</t>
        </is>
      </c>
      <c r="B417" s="15" t="n">
        <v>46186</v>
      </c>
      <c r="C417" s="14" t="inlineStr">
        <is>
          <t>Tháng 06/2026</t>
        </is>
      </c>
      <c r="D417" s="14" t="inlineStr">
        <is>
          <t>Quý 2</t>
        </is>
      </c>
      <c r="E417" s="16" t="inlineStr">
        <is>
          <t>Ban Kinh tế - Tài chính</t>
        </is>
      </c>
      <c r="F417" s="16" t="inlineStr">
        <is>
          <t>Nhóm Minh Tuấn</t>
        </is>
      </c>
      <c r="G417" s="16" t="inlineStr">
        <is>
          <t>TikTok</t>
        </is>
      </c>
      <c r="H417" s="16" t="inlineStr">
        <is>
          <t>TikTok Reel (1-3p)</t>
        </is>
      </c>
      <c r="I417" s="16" t="inlineStr">
        <is>
          <t>Tài chính Cá nhân &amp; Đầu tư</t>
        </is>
      </c>
      <c r="J417" s="16" t="inlineStr">
        <is>
          <t>Hỗ trợ sâu (40%)</t>
        </is>
      </c>
      <c r="K417" s="17" t="n">
        <v>1526128</v>
      </c>
      <c r="L417" s="17" t="n">
        <v>186950</v>
      </c>
      <c r="M417" s="18">
        <f>L417/K417</f>
        <v/>
      </c>
      <c r="N417" s="17" t="n">
        <v>64</v>
      </c>
      <c r="O417" s="18" t="n">
        <v>0.5674</v>
      </c>
      <c r="P417" s="17" t="n">
        <v>1650000</v>
      </c>
      <c r="Q417" s="17" t="n">
        <v>7700000</v>
      </c>
      <c r="R417" s="17">
        <f>Q417-P417</f>
        <v/>
      </c>
      <c r="S417" s="18">
        <f>(Q417-P417)/P417</f>
        <v/>
      </c>
      <c r="T417" s="14">
        <f>IF(AND(K417&gt;=50000, S417&gt;=0.35), "Vượt KPI", IF(AND(K417&gt;=20000, S417&gt;=0), "Đạt KPI", "Chưa đạt KPI"))</f>
        <v/>
      </c>
    </row>
    <row r="418">
      <c r="A418" s="10" t="inlineStr">
        <is>
          <t>SP-0415</t>
        </is>
      </c>
      <c r="B418" s="11" t="n">
        <v>46116</v>
      </c>
      <c r="C418" s="10" t="inlineStr">
        <is>
          <t>Tháng 04/2026</t>
        </is>
      </c>
      <c r="D418" s="10" t="inlineStr">
        <is>
          <t>Quý 2</t>
        </is>
      </c>
      <c r="E418" s="5" t="inlineStr">
        <is>
          <t>Ban Video &amp; Truyền hình số</t>
        </is>
      </c>
      <c r="F418" s="5" t="inlineStr">
        <is>
          <t>Nhóm Đặng Minh</t>
        </is>
      </c>
      <c r="G418" s="5" t="inlineStr">
        <is>
          <t>Báo Điện tử (Web)</t>
        </is>
      </c>
      <c r="H418" s="5" t="inlineStr">
        <is>
          <t>Infographic / Mega Story</t>
        </is>
      </c>
      <c r="I418" s="5" t="inlineStr">
        <is>
          <t>Phóng sự Điều tra</t>
        </is>
      </c>
      <c r="J418" s="5" t="inlineStr">
        <is>
          <t>Toàn trình (70%)</t>
        </is>
      </c>
      <c r="K418" s="12" t="n">
        <v>217293</v>
      </c>
      <c r="L418" s="12" t="n">
        <v>17818</v>
      </c>
      <c r="M418" s="13">
        <f>L418/K418</f>
        <v/>
      </c>
      <c r="N418" s="12" t="n">
        <v>265</v>
      </c>
      <c r="O418" s="13" t="n">
        <v>0.3881</v>
      </c>
      <c r="P418" s="12" t="n">
        <v>5900000</v>
      </c>
      <c r="Q418" s="12" t="n">
        <v>19700000</v>
      </c>
      <c r="R418" s="12">
        <f>Q418-P418</f>
        <v/>
      </c>
      <c r="S418" s="13">
        <f>(Q418-P418)/P418</f>
        <v/>
      </c>
      <c r="T418" s="10">
        <f>IF(AND(K418&gt;=50000, S418&gt;=0.35), "Vượt KPI", IF(AND(K418&gt;=20000, S418&gt;=0), "Đạt KPI", "Chưa đạt KPI"))</f>
        <v/>
      </c>
    </row>
    <row r="419">
      <c r="A419" s="14" t="inlineStr">
        <is>
          <t>SP-0416</t>
        </is>
      </c>
      <c r="B419" s="15" t="n">
        <v>46093</v>
      </c>
      <c r="C419" s="14" t="inlineStr">
        <is>
          <t>Tháng 03/2026</t>
        </is>
      </c>
      <c r="D419" s="14" t="inlineStr">
        <is>
          <t>Quý 1</t>
        </is>
      </c>
      <c r="E419" s="16" t="inlineStr">
        <is>
          <t>Ban Công nghệ &amp; AI</t>
        </is>
      </c>
      <c r="F419" s="16" t="inlineStr">
        <is>
          <t>Nhóm Ngọc Ánh</t>
        </is>
      </c>
      <c r="G419" s="16" t="inlineStr">
        <is>
          <t>YouTube</t>
        </is>
      </c>
      <c r="H419" s="16" t="inlineStr">
        <is>
          <t>YouTube Documentary (&gt;25p)</t>
        </is>
      </c>
      <c r="I419" s="16" t="inlineStr">
        <is>
          <t>Công nghệ &amp; AI</t>
        </is>
      </c>
      <c r="J419" s="16" t="inlineStr">
        <is>
          <t>Thủ công (0%)</t>
        </is>
      </c>
      <c r="K419" s="17" t="n">
        <v>107471</v>
      </c>
      <c r="L419" s="17" t="n">
        <v>4030</v>
      </c>
      <c r="M419" s="18">
        <f>L419/K419</f>
        <v/>
      </c>
      <c r="N419" s="17" t="n">
        <v>182</v>
      </c>
      <c r="O419" s="18" t="n">
        <v>0.5401</v>
      </c>
      <c r="P419" s="17" t="n">
        <v>18150000</v>
      </c>
      <c r="Q419" s="17" t="n">
        <v>30000000</v>
      </c>
      <c r="R419" s="17">
        <f>Q419-P419</f>
        <v/>
      </c>
      <c r="S419" s="18">
        <f>(Q419-P419)/P419</f>
        <v/>
      </c>
      <c r="T419" s="14">
        <f>IF(AND(K419&gt;=50000, S419&gt;=0.35), "Vượt KPI", IF(AND(K419&gt;=20000, S419&gt;=0), "Đạt KPI", "Chưa đạt KPI"))</f>
        <v/>
      </c>
    </row>
    <row r="420">
      <c r="A420" s="10" t="inlineStr">
        <is>
          <t>SP-0417</t>
        </is>
      </c>
      <c r="B420" s="11" t="n">
        <v>46091</v>
      </c>
      <c r="C420" s="10" t="inlineStr">
        <is>
          <t>Tháng 03/2026</t>
        </is>
      </c>
      <c r="D420" s="10" t="inlineStr">
        <is>
          <t>Quý 1</t>
        </is>
      </c>
      <c r="E420" s="5" t="inlineStr">
        <is>
          <t>Ban Kinh tế - Tài chính</t>
        </is>
      </c>
      <c r="F420" s="5" t="inlineStr">
        <is>
          <t>Nhóm Lan Hương</t>
        </is>
      </c>
      <c r="G420" s="5" t="inlineStr">
        <is>
          <t>Podcast / Audio</t>
        </is>
      </c>
      <c r="H420" s="5" t="inlineStr">
        <is>
          <t>Podcast Chuyên sâu (20p)</t>
        </is>
      </c>
      <c r="I420" s="5" t="inlineStr">
        <is>
          <t>Kinh tế - Thị trường</t>
        </is>
      </c>
      <c r="J420" s="5" t="inlineStr">
        <is>
          <t>Cơ bản (15%)</t>
        </is>
      </c>
      <c r="K420" s="12" t="n">
        <v>93969</v>
      </c>
      <c r="L420" s="12" t="n">
        <v>4275</v>
      </c>
      <c r="M420" s="13">
        <f>L420/K420</f>
        <v/>
      </c>
      <c r="N420" s="12" t="n">
        <v>534</v>
      </c>
      <c r="O420" s="13" t="n">
        <v>0.5514</v>
      </c>
      <c r="P420" s="12" t="n">
        <v>2800000</v>
      </c>
      <c r="Q420" s="12" t="n">
        <v>6850000</v>
      </c>
      <c r="R420" s="12">
        <f>Q420-P420</f>
        <v/>
      </c>
      <c r="S420" s="13">
        <f>(Q420-P420)/P420</f>
        <v/>
      </c>
      <c r="T420" s="10">
        <f>IF(AND(K420&gt;=50000, S420&gt;=0.35), "Vượt KPI", IF(AND(K420&gt;=20000, S420&gt;=0), "Đạt KPI", "Chưa đạt KPI"))</f>
        <v/>
      </c>
    </row>
    <row r="421">
      <c r="A421" s="14" t="inlineStr">
        <is>
          <t>SP-0418</t>
        </is>
      </c>
      <c r="B421" s="15" t="n">
        <v>46048</v>
      </c>
      <c r="C421" s="14" t="inlineStr">
        <is>
          <t>Tháng 01/2026</t>
        </is>
      </c>
      <c r="D421" s="14" t="inlineStr">
        <is>
          <t>Quý 1</t>
        </is>
      </c>
      <c r="E421" s="16" t="inlineStr">
        <is>
          <t>Ban Đời sống - Giới trẻ</t>
        </is>
      </c>
      <c r="F421" s="16" t="inlineStr">
        <is>
          <t>Nhóm Duy Khánh</t>
        </is>
      </c>
      <c r="G421" s="16" t="inlineStr">
        <is>
          <t>YouTube</t>
        </is>
      </c>
      <c r="H421" s="16" t="inlineStr">
        <is>
          <t>YouTube Long-form (10-25p)</t>
        </is>
      </c>
      <c r="I421" s="16" t="inlineStr">
        <is>
          <t>Kinh tế - Thị trường</t>
        </is>
      </c>
      <c r="J421" s="16" t="inlineStr">
        <is>
          <t>Cơ bản (15%)</t>
        </is>
      </c>
      <c r="K421" s="17" t="n">
        <v>44240</v>
      </c>
      <c r="L421" s="17" t="n">
        <v>2189</v>
      </c>
      <c r="M421" s="18">
        <f>L421/K421</f>
        <v/>
      </c>
      <c r="N421" s="17" t="n">
        <v>214</v>
      </c>
      <c r="O421" s="18" t="n">
        <v>0.5665</v>
      </c>
      <c r="P421" s="17" t="n">
        <v>9350000</v>
      </c>
      <c r="Q421" s="17" t="n">
        <v>26100000</v>
      </c>
      <c r="R421" s="17">
        <f>Q421-P421</f>
        <v/>
      </c>
      <c r="S421" s="18">
        <f>(Q421-P421)/P421</f>
        <v/>
      </c>
      <c r="T421" s="14">
        <f>IF(AND(K421&gt;=50000, S421&gt;=0.35), "Vượt KPI", IF(AND(K421&gt;=20000, S421&gt;=0), "Đạt KPI", "Chưa đạt KPI"))</f>
        <v/>
      </c>
    </row>
    <row r="422">
      <c r="A422" s="10" t="inlineStr">
        <is>
          <t>SP-0419</t>
        </is>
      </c>
      <c r="B422" s="11" t="n">
        <v>46023</v>
      </c>
      <c r="C422" s="10" t="inlineStr">
        <is>
          <t>Tháng 01/2026</t>
        </is>
      </c>
      <c r="D422" s="10" t="inlineStr">
        <is>
          <t>Quý 1</t>
        </is>
      </c>
      <c r="E422" s="5" t="inlineStr">
        <is>
          <t>Ban Thời sự - Chính trị</t>
        </is>
      </c>
      <c r="F422" s="5" t="inlineStr">
        <is>
          <t>Nhóm Việt Anh</t>
        </is>
      </c>
      <c r="G422" s="5" t="inlineStr">
        <is>
          <t>Báo Điện tử (Web)</t>
        </is>
      </c>
      <c r="H422" s="5" t="inlineStr">
        <is>
          <t>Longform / E-magazine</t>
        </is>
      </c>
      <c r="I422" s="5" t="inlineStr">
        <is>
          <t>Kinh tế - Thị trường</t>
        </is>
      </c>
      <c r="J422" s="5" t="inlineStr">
        <is>
          <t>Toàn trình (70%)</t>
        </is>
      </c>
      <c r="K422" s="12" t="n">
        <v>98309</v>
      </c>
      <c r="L422" s="12" t="n">
        <v>5289</v>
      </c>
      <c r="M422" s="13">
        <f>L422/K422</f>
        <v/>
      </c>
      <c r="N422" s="12" t="n">
        <v>280</v>
      </c>
      <c r="O422" s="13" t="n">
        <v>0.4681</v>
      </c>
      <c r="P422" s="12" t="n">
        <v>2850000</v>
      </c>
      <c r="Q422" s="12" t="n">
        <v>15400000</v>
      </c>
      <c r="R422" s="12">
        <f>Q422-P422</f>
        <v/>
      </c>
      <c r="S422" s="13">
        <f>(Q422-P422)/P422</f>
        <v/>
      </c>
      <c r="T422" s="10">
        <f>IF(AND(K422&gt;=50000, S422&gt;=0.35), "Vượt KPI", IF(AND(K422&gt;=20000, S422&gt;=0), "Đạt KPI", "Chưa đạt KPI"))</f>
        <v/>
      </c>
    </row>
    <row r="423">
      <c r="A423" s="14" t="inlineStr">
        <is>
          <t>SP-0420</t>
        </is>
      </c>
      <c r="B423" s="15" t="n">
        <v>46149</v>
      </c>
      <c r="C423" s="14" t="inlineStr">
        <is>
          <t>Tháng 05/2026</t>
        </is>
      </c>
      <c r="D423" s="14" t="inlineStr">
        <is>
          <t>Quý 2</t>
        </is>
      </c>
      <c r="E423" s="16" t="inlineStr">
        <is>
          <t>Ban Video &amp; Truyền hình số</t>
        </is>
      </c>
      <c r="F423" s="16" t="inlineStr">
        <is>
          <t>Nhóm Thu Trang</t>
        </is>
      </c>
      <c r="G423" s="16" t="inlineStr">
        <is>
          <t>TikTok</t>
        </is>
      </c>
      <c r="H423" s="16" t="inlineStr">
        <is>
          <t>TikTok Reel (1-3p)</t>
        </is>
      </c>
      <c r="I423" s="16" t="inlineStr">
        <is>
          <t>Công nghệ &amp; AI</t>
        </is>
      </c>
      <c r="J423" s="16" t="inlineStr">
        <is>
          <t>Cơ bản (15%)</t>
        </is>
      </c>
      <c r="K423" s="17" t="n">
        <v>1296495</v>
      </c>
      <c r="L423" s="17" t="n">
        <v>71825</v>
      </c>
      <c r="M423" s="18">
        <f>L423/K423</f>
        <v/>
      </c>
      <c r="N423" s="17" t="n">
        <v>35</v>
      </c>
      <c r="O423" s="18" t="n">
        <v>0.3874</v>
      </c>
      <c r="P423" s="17" t="n">
        <v>2300000</v>
      </c>
      <c r="Q423" s="17" t="n">
        <v>12900000</v>
      </c>
      <c r="R423" s="17">
        <f>Q423-P423</f>
        <v/>
      </c>
      <c r="S423" s="18">
        <f>(Q423-P423)/P423</f>
        <v/>
      </c>
      <c r="T423" s="14">
        <f>IF(AND(K423&gt;=50000, S423&gt;=0.35), "Vượt KPI", IF(AND(K423&gt;=20000, S423&gt;=0), "Đạt KPI", "Chưa đạt KPI"))</f>
        <v/>
      </c>
    </row>
    <row r="424">
      <c r="A424" s="10" t="inlineStr">
        <is>
          <t>SP-0421</t>
        </is>
      </c>
      <c r="B424" s="11" t="n">
        <v>46099</v>
      </c>
      <c r="C424" s="10" t="inlineStr">
        <is>
          <t>Tháng 03/2026</t>
        </is>
      </c>
      <c r="D424" s="10" t="inlineStr">
        <is>
          <t>Quý 1</t>
        </is>
      </c>
      <c r="E424" s="5" t="inlineStr">
        <is>
          <t>Ban Video &amp; Truyền hình số</t>
        </is>
      </c>
      <c r="F424" s="5" t="inlineStr">
        <is>
          <t>Nhóm Thu Trang</t>
        </is>
      </c>
      <c r="G424" s="5" t="inlineStr">
        <is>
          <t>TikTok</t>
        </is>
      </c>
      <c r="H424" s="5" t="inlineStr">
        <is>
          <t>TikTok Reel (1-3p)</t>
        </is>
      </c>
      <c r="I424" s="5" t="inlineStr">
        <is>
          <t>Phóng sự Điều tra</t>
        </is>
      </c>
      <c r="J424" s="5" t="inlineStr">
        <is>
          <t>Hỗ trợ sâu (40%)</t>
        </is>
      </c>
      <c r="K424" s="12" t="n">
        <v>80064</v>
      </c>
      <c r="L424" s="12" t="n">
        <v>4363</v>
      </c>
      <c r="M424" s="13">
        <f>L424/K424</f>
        <v/>
      </c>
      <c r="N424" s="12" t="n">
        <v>91</v>
      </c>
      <c r="O424" s="13" t="n">
        <v>0.6901</v>
      </c>
      <c r="P424" s="12" t="n">
        <v>3600000</v>
      </c>
      <c r="Q424" s="12" t="n">
        <v>12250000</v>
      </c>
      <c r="R424" s="12">
        <f>Q424-P424</f>
        <v/>
      </c>
      <c r="S424" s="13">
        <f>(Q424-P424)/P424</f>
        <v/>
      </c>
      <c r="T424" s="10">
        <f>IF(AND(K424&gt;=50000, S424&gt;=0.35), "Vượt KPI", IF(AND(K424&gt;=20000, S424&gt;=0), "Đạt KPI", "Chưa đạt KPI"))</f>
        <v/>
      </c>
    </row>
    <row r="425">
      <c r="A425" s="14" t="inlineStr">
        <is>
          <t>SP-0422</t>
        </is>
      </c>
      <c r="B425" s="15" t="n">
        <v>46158</v>
      </c>
      <c r="C425" s="14" t="inlineStr">
        <is>
          <t>Tháng 05/2026</t>
        </is>
      </c>
      <c r="D425" s="14" t="inlineStr">
        <is>
          <t>Quý 2</t>
        </is>
      </c>
      <c r="E425" s="16" t="inlineStr">
        <is>
          <t>Ban Kinh tế - Tài chính</t>
        </is>
      </c>
      <c r="F425" s="16" t="inlineStr">
        <is>
          <t>Nhóm Lan Hương</t>
        </is>
      </c>
      <c r="G425" s="16" t="inlineStr">
        <is>
          <t>YouTube</t>
        </is>
      </c>
      <c r="H425" s="16" t="inlineStr">
        <is>
          <t>YouTube Shorts</t>
        </is>
      </c>
      <c r="I425" s="16" t="inlineStr">
        <is>
          <t>Kinh tế - Thị trường</t>
        </is>
      </c>
      <c r="J425" s="16" t="inlineStr">
        <is>
          <t>Thủ công (0%)</t>
        </is>
      </c>
      <c r="K425" s="17" t="n">
        <v>427244</v>
      </c>
      <c r="L425" s="17" t="n">
        <v>36871</v>
      </c>
      <c r="M425" s="18">
        <f>L425/K425</f>
        <v/>
      </c>
      <c r="N425" s="17" t="n">
        <v>437</v>
      </c>
      <c r="O425" s="18" t="n">
        <v>0.4106</v>
      </c>
      <c r="P425" s="17" t="n">
        <v>6050000</v>
      </c>
      <c r="Q425" s="17" t="n">
        <v>18100000</v>
      </c>
      <c r="R425" s="17">
        <f>Q425-P425</f>
        <v/>
      </c>
      <c r="S425" s="18">
        <f>(Q425-P425)/P425</f>
        <v/>
      </c>
      <c r="T425" s="14">
        <f>IF(AND(K425&gt;=50000, S425&gt;=0.35), "Vượt KPI", IF(AND(K425&gt;=20000, S425&gt;=0), "Đạt KPI", "Chưa đạt KPI"))</f>
        <v/>
      </c>
    </row>
    <row r="426">
      <c r="A426" s="10" t="inlineStr">
        <is>
          <t>SP-0423</t>
        </is>
      </c>
      <c r="B426" s="11" t="n">
        <v>46182</v>
      </c>
      <c r="C426" s="10" t="inlineStr">
        <is>
          <t>Tháng 06/2026</t>
        </is>
      </c>
      <c r="D426" s="10" t="inlineStr">
        <is>
          <t>Quý 2</t>
        </is>
      </c>
      <c r="E426" s="5" t="inlineStr">
        <is>
          <t>Ban Công nghệ &amp; AI</t>
        </is>
      </c>
      <c r="F426" s="5" t="inlineStr">
        <is>
          <t>Nhóm Ngọc Ánh</t>
        </is>
      </c>
      <c r="G426" s="5" t="inlineStr">
        <is>
          <t>TikTok</t>
        </is>
      </c>
      <c r="H426" s="5" t="inlineStr">
        <is>
          <t>Short Video (&lt;60s)</t>
        </is>
      </c>
      <c r="I426" s="5" t="inlineStr">
        <is>
          <t>Công nghệ &amp; AI</t>
        </is>
      </c>
      <c r="J426" s="5" t="inlineStr">
        <is>
          <t>Cơ bản (15%)</t>
        </is>
      </c>
      <c r="K426" s="12" t="n">
        <v>924548</v>
      </c>
      <c r="L426" s="12" t="n">
        <v>70358</v>
      </c>
      <c r="M426" s="13">
        <f>L426/K426</f>
        <v/>
      </c>
      <c r="N426" s="12" t="n">
        <v>31</v>
      </c>
      <c r="O426" s="13" t="n">
        <v>0.3485</v>
      </c>
      <c r="P426" s="12" t="n">
        <v>1500000</v>
      </c>
      <c r="Q426" s="12" t="n">
        <v>4000000</v>
      </c>
      <c r="R426" s="12">
        <f>Q426-P426</f>
        <v/>
      </c>
      <c r="S426" s="13">
        <f>(Q426-P426)/P426</f>
        <v/>
      </c>
      <c r="T426" s="10">
        <f>IF(AND(K426&gt;=50000, S426&gt;=0.35), "Vượt KPI", IF(AND(K426&gt;=20000, S426&gt;=0), "Đạt KPI", "Chưa đạt KPI"))</f>
        <v/>
      </c>
    </row>
    <row r="427">
      <c r="A427" s="14" t="inlineStr">
        <is>
          <t>SP-0424</t>
        </is>
      </c>
      <c r="B427" s="15" t="n">
        <v>46127</v>
      </c>
      <c r="C427" s="14" t="inlineStr">
        <is>
          <t>Tháng 04/2026</t>
        </is>
      </c>
      <c r="D427" s="14" t="inlineStr">
        <is>
          <t>Quý 2</t>
        </is>
      </c>
      <c r="E427" s="16" t="inlineStr">
        <is>
          <t>Ban Phóng sự - Điều tra</t>
        </is>
      </c>
      <c r="F427" s="16" t="inlineStr">
        <is>
          <t>Nhóm Trọng Nghĩa</t>
        </is>
      </c>
      <c r="G427" s="16" t="inlineStr">
        <is>
          <t>Facebook Page</t>
        </is>
      </c>
      <c r="H427" s="16" t="inlineStr">
        <is>
          <t>Video Bản tin (3-5p)</t>
        </is>
      </c>
      <c r="I427" s="16" t="inlineStr">
        <is>
          <t>Chính sách &amp; Pháp luật</t>
        </is>
      </c>
      <c r="J427" s="16" t="inlineStr">
        <is>
          <t>Hỗ trợ sâu (40%)</t>
        </is>
      </c>
      <c r="K427" s="17" t="n">
        <v>171234</v>
      </c>
      <c r="L427" s="17" t="n">
        <v>4452</v>
      </c>
      <c r="M427" s="18">
        <f>L427/K427</f>
        <v/>
      </c>
      <c r="N427" s="17" t="n">
        <v>93</v>
      </c>
      <c r="O427" s="18" t="n">
        <v>0.6156</v>
      </c>
      <c r="P427" s="17" t="n">
        <v>3000000</v>
      </c>
      <c r="Q427" s="17" t="n">
        <v>6600000</v>
      </c>
      <c r="R427" s="17">
        <f>Q427-P427</f>
        <v/>
      </c>
      <c r="S427" s="18">
        <f>(Q427-P427)/P427</f>
        <v/>
      </c>
      <c r="T427" s="14">
        <f>IF(AND(K427&gt;=50000, S427&gt;=0.35), "Vượt KPI", IF(AND(K427&gt;=20000, S427&gt;=0), "Đạt KPI", "Chưa đạt KPI"))</f>
        <v/>
      </c>
    </row>
    <row r="428">
      <c r="A428" s="10" t="inlineStr">
        <is>
          <t>SP-0425</t>
        </is>
      </c>
      <c r="B428" s="11" t="n">
        <v>46090</v>
      </c>
      <c r="C428" s="10" t="inlineStr">
        <is>
          <t>Tháng 03/2026</t>
        </is>
      </c>
      <c r="D428" s="10" t="inlineStr">
        <is>
          <t>Quý 1</t>
        </is>
      </c>
      <c r="E428" s="5" t="inlineStr">
        <is>
          <t>Ban Kinh tế - Tài chính</t>
        </is>
      </c>
      <c r="F428" s="5" t="inlineStr">
        <is>
          <t>Nhóm Lan Hương</t>
        </is>
      </c>
      <c r="G428" s="5" t="inlineStr">
        <is>
          <t>Báo Điện tử (Web)</t>
        </is>
      </c>
      <c r="H428" s="5" t="inlineStr">
        <is>
          <t>Infographic / Mega Story</t>
        </is>
      </c>
      <c r="I428" s="5" t="inlineStr">
        <is>
          <t>Chính sách &amp; Pháp luật</t>
        </is>
      </c>
      <c r="J428" s="5" t="inlineStr">
        <is>
          <t>Hỗ trợ sâu (40%)</t>
        </is>
      </c>
      <c r="K428" s="12" t="n">
        <v>329206</v>
      </c>
      <c r="L428" s="12" t="n">
        <v>12213</v>
      </c>
      <c r="M428" s="13">
        <f>L428/K428</f>
        <v/>
      </c>
      <c r="N428" s="12" t="n">
        <v>178</v>
      </c>
      <c r="O428" s="13" t="n">
        <v>0.6089</v>
      </c>
      <c r="P428" s="12" t="n">
        <v>3850000</v>
      </c>
      <c r="Q428" s="12" t="n">
        <v>9100000</v>
      </c>
      <c r="R428" s="12">
        <f>Q428-P428</f>
        <v/>
      </c>
      <c r="S428" s="13">
        <f>(Q428-P428)/P428</f>
        <v/>
      </c>
      <c r="T428" s="10">
        <f>IF(AND(K428&gt;=50000, S428&gt;=0.35), "Vượt KPI", IF(AND(K428&gt;=20000, S428&gt;=0), "Đạt KPI", "Chưa đạt KPI"))</f>
        <v/>
      </c>
    </row>
    <row r="429">
      <c r="A429" s="14" t="inlineStr">
        <is>
          <t>SP-0426</t>
        </is>
      </c>
      <c r="B429" s="15" t="n">
        <v>46178</v>
      </c>
      <c r="C429" s="14" t="inlineStr">
        <is>
          <t>Tháng 06/2026</t>
        </is>
      </c>
      <c r="D429" s="14" t="inlineStr">
        <is>
          <t>Quý 2</t>
        </is>
      </c>
      <c r="E429" s="16" t="inlineStr">
        <is>
          <t>Ban Đời sống - Giới trẻ</t>
        </is>
      </c>
      <c r="F429" s="16" t="inlineStr">
        <is>
          <t>Nhóm Duy Khánh</t>
        </is>
      </c>
      <c r="G429" s="16" t="inlineStr">
        <is>
          <t>TikTok</t>
        </is>
      </c>
      <c r="H429" s="16" t="inlineStr">
        <is>
          <t>Short Video (&lt;60s)</t>
        </is>
      </c>
      <c r="I429" s="16" t="inlineStr">
        <is>
          <t>Giáo dục &amp; Tuyển sinh</t>
        </is>
      </c>
      <c r="J429" s="16" t="inlineStr">
        <is>
          <t>Cơ bản (15%)</t>
        </is>
      </c>
      <c r="K429" s="17" t="n">
        <v>684602</v>
      </c>
      <c r="L429" s="17" t="n">
        <v>31765</v>
      </c>
      <c r="M429" s="18">
        <f>L429/K429</f>
        <v/>
      </c>
      <c r="N429" s="17" t="n">
        <v>55</v>
      </c>
      <c r="O429" s="18" t="n">
        <v>0.3512</v>
      </c>
      <c r="P429" s="17" t="n">
        <v>1100000</v>
      </c>
      <c r="Q429" s="17" t="n">
        <v>1600000</v>
      </c>
      <c r="R429" s="17">
        <f>Q429-P429</f>
        <v/>
      </c>
      <c r="S429" s="18">
        <f>(Q429-P429)/P429</f>
        <v/>
      </c>
      <c r="T429" s="14">
        <f>IF(AND(K429&gt;=50000, S429&gt;=0.35), "Vượt KPI", IF(AND(K429&gt;=20000, S429&gt;=0), "Đạt KPI", "Chưa đạt KPI"))</f>
        <v/>
      </c>
    </row>
    <row r="430">
      <c r="A430" s="10" t="inlineStr">
        <is>
          <t>SP-0427</t>
        </is>
      </c>
      <c r="B430" s="11" t="n">
        <v>46170</v>
      </c>
      <c r="C430" s="10" t="inlineStr">
        <is>
          <t>Tháng 05/2026</t>
        </is>
      </c>
      <c r="D430" s="10" t="inlineStr">
        <is>
          <t>Quý 2</t>
        </is>
      </c>
      <c r="E430" s="5" t="inlineStr">
        <is>
          <t>Ban Đời sống - Giới trẻ</t>
        </is>
      </c>
      <c r="F430" s="5" t="inlineStr">
        <is>
          <t>Nhóm Duy Khánh</t>
        </is>
      </c>
      <c r="G430" s="5" t="inlineStr">
        <is>
          <t>YouTube</t>
        </is>
      </c>
      <c r="H430" s="5" t="inlineStr">
        <is>
          <t>YouTube Documentary (&gt;25p)</t>
        </is>
      </c>
      <c r="I430" s="5" t="inlineStr">
        <is>
          <t>Kinh tế - Thị trường</t>
        </is>
      </c>
      <c r="J430" s="5" t="inlineStr">
        <is>
          <t>Toàn trình (70%)</t>
        </is>
      </c>
      <c r="K430" s="12" t="n">
        <v>1483700</v>
      </c>
      <c r="L430" s="12" t="n">
        <v>74481</v>
      </c>
      <c r="M430" s="13">
        <f>L430/K430</f>
        <v/>
      </c>
      <c r="N430" s="12" t="n">
        <v>773</v>
      </c>
      <c r="O430" s="13" t="n">
        <v>0.7274</v>
      </c>
      <c r="P430" s="12" t="n">
        <v>13300000</v>
      </c>
      <c r="Q430" s="12" t="n">
        <v>52300000</v>
      </c>
      <c r="R430" s="12">
        <f>Q430-P430</f>
        <v/>
      </c>
      <c r="S430" s="13">
        <f>(Q430-P430)/P430</f>
        <v/>
      </c>
      <c r="T430" s="10">
        <f>IF(AND(K430&gt;=50000, S430&gt;=0.35), "Vượt KPI", IF(AND(K430&gt;=20000, S430&gt;=0), "Đạt KPI", "Chưa đạt KPI"))</f>
        <v/>
      </c>
    </row>
    <row r="431">
      <c r="A431" s="14" t="inlineStr">
        <is>
          <t>SP-0428</t>
        </is>
      </c>
      <c r="B431" s="15" t="n">
        <v>46092</v>
      </c>
      <c r="C431" s="14" t="inlineStr">
        <is>
          <t>Tháng 03/2026</t>
        </is>
      </c>
      <c r="D431" s="14" t="inlineStr">
        <is>
          <t>Quý 1</t>
        </is>
      </c>
      <c r="E431" s="16" t="inlineStr">
        <is>
          <t>Ban Công nghệ &amp; AI</t>
        </is>
      </c>
      <c r="F431" s="16" t="inlineStr">
        <is>
          <t>Nhóm Gia Hưng</t>
        </is>
      </c>
      <c r="G431" s="16" t="inlineStr">
        <is>
          <t>Facebook Page</t>
        </is>
      </c>
      <c r="H431" s="16" t="inlineStr">
        <is>
          <t>Photo Story / Carousel</t>
        </is>
      </c>
      <c r="I431" s="16" t="inlineStr">
        <is>
          <t>Kinh tế - Thị trường</t>
        </is>
      </c>
      <c r="J431" s="16" t="inlineStr">
        <is>
          <t>Cơ bản (15%)</t>
        </is>
      </c>
      <c r="K431" s="17" t="n">
        <v>117156</v>
      </c>
      <c r="L431" s="17" t="n">
        <v>6115</v>
      </c>
      <c r="M431" s="18">
        <f>L431/K431</f>
        <v/>
      </c>
      <c r="N431" s="17" t="n">
        <v>128</v>
      </c>
      <c r="O431" s="18" t="n">
        <v>0.6956</v>
      </c>
      <c r="P431" s="17" t="n">
        <v>1700000</v>
      </c>
      <c r="Q431" s="17" t="n">
        <v>2850000</v>
      </c>
      <c r="R431" s="17">
        <f>Q431-P431</f>
        <v/>
      </c>
      <c r="S431" s="18">
        <f>(Q431-P431)/P431</f>
        <v/>
      </c>
      <c r="T431" s="14">
        <f>IF(AND(K431&gt;=50000, S431&gt;=0.35), "Vượt KPI", IF(AND(K431&gt;=20000, S431&gt;=0), "Đạt KPI", "Chưa đạt KPI"))</f>
        <v/>
      </c>
    </row>
    <row r="432">
      <c r="A432" s="10" t="inlineStr">
        <is>
          <t>SP-0429</t>
        </is>
      </c>
      <c r="B432" s="11" t="n">
        <v>46200</v>
      </c>
      <c r="C432" s="10" t="inlineStr">
        <is>
          <t>Tháng 06/2026</t>
        </is>
      </c>
      <c r="D432" s="10" t="inlineStr">
        <is>
          <t>Quý 2</t>
        </is>
      </c>
      <c r="E432" s="5" t="inlineStr">
        <is>
          <t>Ban Đời sống - Giới trẻ</t>
        </is>
      </c>
      <c r="F432" s="5" t="inlineStr">
        <is>
          <t>Nhóm Phương Thảo</t>
        </is>
      </c>
      <c r="G432" s="5" t="inlineStr">
        <is>
          <t>TikTok</t>
        </is>
      </c>
      <c r="H432" s="5" t="inlineStr">
        <is>
          <t>Short Video (&lt;60s)</t>
        </is>
      </c>
      <c r="I432" s="5" t="inlineStr">
        <is>
          <t>Công nghệ &amp; AI</t>
        </is>
      </c>
      <c r="J432" s="5" t="inlineStr">
        <is>
          <t>Cơ bản (15%)</t>
        </is>
      </c>
      <c r="K432" s="12" t="n">
        <v>405003</v>
      </c>
      <c r="L432" s="12" t="n">
        <v>22882</v>
      </c>
      <c r="M432" s="13">
        <f>L432/K432</f>
        <v/>
      </c>
      <c r="N432" s="12" t="n">
        <v>93</v>
      </c>
      <c r="O432" s="13" t="n">
        <v>0.4475</v>
      </c>
      <c r="P432" s="12" t="n">
        <v>2750000</v>
      </c>
      <c r="Q432" s="12" t="n">
        <v>4350000</v>
      </c>
      <c r="R432" s="12">
        <f>Q432-P432</f>
        <v/>
      </c>
      <c r="S432" s="13">
        <f>(Q432-P432)/P432</f>
        <v/>
      </c>
      <c r="T432" s="10">
        <f>IF(AND(K432&gt;=50000, S432&gt;=0.35), "Vượt KPI", IF(AND(K432&gt;=20000, S432&gt;=0), "Đạt KPI", "Chưa đạt KPI"))</f>
        <v/>
      </c>
    </row>
    <row r="433">
      <c r="A433" s="14" t="inlineStr">
        <is>
          <t>SP-0430</t>
        </is>
      </c>
      <c r="B433" s="15" t="n">
        <v>46106</v>
      </c>
      <c r="C433" s="14" t="inlineStr">
        <is>
          <t>Tháng 03/2026</t>
        </is>
      </c>
      <c r="D433" s="14" t="inlineStr">
        <is>
          <t>Quý 1</t>
        </is>
      </c>
      <c r="E433" s="16" t="inlineStr">
        <is>
          <t>Ban Đời sống - Giới trẻ</t>
        </is>
      </c>
      <c r="F433" s="16" t="inlineStr">
        <is>
          <t>Nhóm Duy Khánh</t>
        </is>
      </c>
      <c r="G433" s="16" t="inlineStr">
        <is>
          <t>YouTube</t>
        </is>
      </c>
      <c r="H433" s="16" t="inlineStr">
        <is>
          <t>YouTube Documentary (&gt;25p)</t>
        </is>
      </c>
      <c r="I433" s="16" t="inlineStr">
        <is>
          <t>Công nghệ &amp; AI</t>
        </is>
      </c>
      <c r="J433" s="16" t="inlineStr">
        <is>
          <t>Cơ bản (15%)</t>
        </is>
      </c>
      <c r="K433" s="17" t="n">
        <v>1296861</v>
      </c>
      <c r="L433" s="17" t="n">
        <v>40980</v>
      </c>
      <c r="M433" s="18">
        <f>L433/K433</f>
        <v/>
      </c>
      <c r="N433" s="17" t="n">
        <v>331</v>
      </c>
      <c r="O433" s="18" t="n">
        <v>0.4651</v>
      </c>
      <c r="P433" s="17" t="n">
        <v>20650000</v>
      </c>
      <c r="Q433" s="17" t="n">
        <v>67500000</v>
      </c>
      <c r="R433" s="17">
        <f>Q433-P433</f>
        <v/>
      </c>
      <c r="S433" s="18">
        <f>(Q433-P433)/P433</f>
        <v/>
      </c>
      <c r="T433" s="14">
        <f>IF(AND(K433&gt;=50000, S433&gt;=0.35), "Vượt KPI", IF(AND(K433&gt;=20000, S433&gt;=0), "Đạt KPI", "Chưa đạt KPI"))</f>
        <v/>
      </c>
    </row>
    <row r="434">
      <c r="A434" s="10" t="inlineStr">
        <is>
          <t>SP-0431</t>
        </is>
      </c>
      <c r="B434" s="11" t="n">
        <v>46082</v>
      </c>
      <c r="C434" s="10" t="inlineStr">
        <is>
          <t>Tháng 03/2026</t>
        </is>
      </c>
      <c r="D434" s="10" t="inlineStr">
        <is>
          <t>Quý 1</t>
        </is>
      </c>
      <c r="E434" s="5" t="inlineStr">
        <is>
          <t>Ban Công nghệ &amp; AI</t>
        </is>
      </c>
      <c r="F434" s="5" t="inlineStr">
        <is>
          <t>Nhóm Ngọc Ánh</t>
        </is>
      </c>
      <c r="G434" s="5" t="inlineStr">
        <is>
          <t>Báo Điện tử (Web)</t>
        </is>
      </c>
      <c r="H434" s="5" t="inlineStr">
        <is>
          <t>Infographic / Mega Story</t>
        </is>
      </c>
      <c r="I434" s="5" t="inlineStr">
        <is>
          <t>Kinh tế - Thị trường</t>
        </is>
      </c>
      <c r="J434" s="5" t="inlineStr">
        <is>
          <t>Cơ bản (15%)</t>
        </is>
      </c>
      <c r="K434" s="12" t="n">
        <v>330753</v>
      </c>
      <c r="L434" s="12" t="n">
        <v>11146</v>
      </c>
      <c r="M434" s="13">
        <f>L434/K434</f>
        <v/>
      </c>
      <c r="N434" s="12" t="n">
        <v>238</v>
      </c>
      <c r="O434" s="13" t="n">
        <v>0.6596</v>
      </c>
      <c r="P434" s="12" t="n">
        <v>3250000</v>
      </c>
      <c r="Q434" s="12" t="n">
        <v>6650000</v>
      </c>
      <c r="R434" s="12">
        <f>Q434-P434</f>
        <v/>
      </c>
      <c r="S434" s="13">
        <f>(Q434-P434)/P434</f>
        <v/>
      </c>
      <c r="T434" s="10">
        <f>IF(AND(K434&gt;=50000, S434&gt;=0.35), "Vượt KPI", IF(AND(K434&gt;=20000, S434&gt;=0), "Đạt KPI", "Chưa đạt KPI"))</f>
        <v/>
      </c>
    </row>
    <row r="435">
      <c r="A435" s="14" t="inlineStr">
        <is>
          <t>SP-0432</t>
        </is>
      </c>
      <c r="B435" s="15" t="n">
        <v>46160</v>
      </c>
      <c r="C435" s="14" t="inlineStr">
        <is>
          <t>Tháng 05/2026</t>
        </is>
      </c>
      <c r="D435" s="14" t="inlineStr">
        <is>
          <t>Quý 2</t>
        </is>
      </c>
      <c r="E435" s="16" t="inlineStr">
        <is>
          <t>Ban Công nghệ &amp; AI</t>
        </is>
      </c>
      <c r="F435" s="16" t="inlineStr">
        <is>
          <t>Nhóm Ngọc Ánh</t>
        </is>
      </c>
      <c r="G435" s="16" t="inlineStr">
        <is>
          <t>TikTok</t>
        </is>
      </c>
      <c r="H435" s="16" t="inlineStr">
        <is>
          <t>Short Video (&lt;60s)</t>
        </is>
      </c>
      <c r="I435" s="16" t="inlineStr">
        <is>
          <t>Kinh tế - Thị trường</t>
        </is>
      </c>
      <c r="J435" s="16" t="inlineStr">
        <is>
          <t>Toàn trình (70%)</t>
        </is>
      </c>
      <c r="K435" s="17" t="n">
        <v>832619</v>
      </c>
      <c r="L435" s="17" t="n">
        <v>94335</v>
      </c>
      <c r="M435" s="18">
        <f>L435/K435</f>
        <v/>
      </c>
      <c r="N435" s="17" t="n">
        <v>67</v>
      </c>
      <c r="O435" s="18" t="n">
        <v>0.3606</v>
      </c>
      <c r="P435" s="17" t="n">
        <v>700000</v>
      </c>
      <c r="Q435" s="17" t="n">
        <v>1600000</v>
      </c>
      <c r="R435" s="17">
        <f>Q435-P435</f>
        <v/>
      </c>
      <c r="S435" s="18">
        <f>(Q435-P435)/P435</f>
        <v/>
      </c>
      <c r="T435" s="14">
        <f>IF(AND(K435&gt;=50000, S435&gt;=0.35), "Vượt KPI", IF(AND(K435&gt;=20000, S435&gt;=0), "Đạt KPI", "Chưa đạt KPI"))</f>
        <v/>
      </c>
    </row>
    <row r="436">
      <c r="A436" s="10" t="inlineStr">
        <is>
          <t>SP-0433</t>
        </is>
      </c>
      <c r="B436" s="11" t="n">
        <v>46109</v>
      </c>
      <c r="C436" s="10" t="inlineStr">
        <is>
          <t>Tháng 03/2026</t>
        </is>
      </c>
      <c r="D436" s="10" t="inlineStr">
        <is>
          <t>Quý 1</t>
        </is>
      </c>
      <c r="E436" s="5" t="inlineStr">
        <is>
          <t>Ban Đời sống - Giới trẻ</t>
        </is>
      </c>
      <c r="F436" s="5" t="inlineStr">
        <is>
          <t>Nhóm Duy Khánh</t>
        </is>
      </c>
      <c r="G436" s="5" t="inlineStr">
        <is>
          <t>YouTube</t>
        </is>
      </c>
      <c r="H436" s="5" t="inlineStr">
        <is>
          <t>YouTube Shorts</t>
        </is>
      </c>
      <c r="I436" s="5" t="inlineStr">
        <is>
          <t>Giáo dục &amp; Tuyển sinh</t>
        </is>
      </c>
      <c r="J436" s="5" t="inlineStr">
        <is>
          <t>Cơ bản (15%)</t>
        </is>
      </c>
      <c r="K436" s="12" t="n">
        <v>419374</v>
      </c>
      <c r="L436" s="12" t="n">
        <v>31369</v>
      </c>
      <c r="M436" s="13">
        <f>L436/K436</f>
        <v/>
      </c>
      <c r="N436" s="12" t="n">
        <v>568</v>
      </c>
      <c r="O436" s="13" t="n">
        <v>0.486</v>
      </c>
      <c r="P436" s="12" t="n">
        <v>7950000</v>
      </c>
      <c r="Q436" s="12" t="n">
        <v>14300000</v>
      </c>
      <c r="R436" s="12">
        <f>Q436-P436</f>
        <v/>
      </c>
      <c r="S436" s="13">
        <f>(Q436-P436)/P436</f>
        <v/>
      </c>
      <c r="T436" s="10">
        <f>IF(AND(K436&gt;=50000, S436&gt;=0.35), "Vượt KPI", IF(AND(K436&gt;=20000, S436&gt;=0), "Đạt KPI", "Chưa đạt KPI"))</f>
        <v/>
      </c>
    </row>
    <row r="437">
      <c r="A437" s="14" t="inlineStr">
        <is>
          <t>SP-0434</t>
        </is>
      </c>
      <c r="B437" s="15" t="n">
        <v>46189</v>
      </c>
      <c r="C437" s="14" t="inlineStr">
        <is>
          <t>Tháng 06/2026</t>
        </is>
      </c>
      <c r="D437" s="14" t="inlineStr">
        <is>
          <t>Quý 2</t>
        </is>
      </c>
      <c r="E437" s="16" t="inlineStr">
        <is>
          <t>Ban Kinh tế - Tài chính</t>
        </is>
      </c>
      <c r="F437" s="16" t="inlineStr">
        <is>
          <t>Nhóm Đức Thịnh</t>
        </is>
      </c>
      <c r="G437" s="16" t="inlineStr">
        <is>
          <t>Báo Điện tử (Web)</t>
        </is>
      </c>
      <c r="H437" s="16" t="inlineStr">
        <is>
          <t>Longform / E-magazine</t>
        </is>
      </c>
      <c r="I437" s="16" t="inlineStr">
        <is>
          <t>Kinh tế - Thị trường</t>
        </is>
      </c>
      <c r="J437" s="16" t="inlineStr">
        <is>
          <t>Thủ công (0%)</t>
        </is>
      </c>
      <c r="K437" s="17" t="n">
        <v>166559</v>
      </c>
      <c r="L437" s="17" t="n">
        <v>8111</v>
      </c>
      <c r="M437" s="18">
        <f>L437/K437</f>
        <v/>
      </c>
      <c r="N437" s="17" t="n">
        <v>109</v>
      </c>
      <c r="O437" s="18" t="n">
        <v>0.301</v>
      </c>
      <c r="P437" s="17" t="n">
        <v>2400000</v>
      </c>
      <c r="Q437" s="17" t="n">
        <v>3650000</v>
      </c>
      <c r="R437" s="17">
        <f>Q437-P437</f>
        <v/>
      </c>
      <c r="S437" s="18">
        <f>(Q437-P437)/P437</f>
        <v/>
      </c>
      <c r="T437" s="14">
        <f>IF(AND(K437&gt;=50000, S437&gt;=0.35), "Vượt KPI", IF(AND(K437&gt;=20000, S437&gt;=0), "Đạt KPI", "Chưa đạt KPI"))</f>
        <v/>
      </c>
    </row>
    <row r="438">
      <c r="A438" s="10" t="inlineStr">
        <is>
          <t>SP-0435</t>
        </is>
      </c>
      <c r="B438" s="11" t="n">
        <v>46090</v>
      </c>
      <c r="C438" s="10" t="inlineStr">
        <is>
          <t>Tháng 03/2026</t>
        </is>
      </c>
      <c r="D438" s="10" t="inlineStr">
        <is>
          <t>Quý 1</t>
        </is>
      </c>
      <c r="E438" s="5" t="inlineStr">
        <is>
          <t>Ban Công nghệ &amp; AI</t>
        </is>
      </c>
      <c r="F438" s="5" t="inlineStr">
        <is>
          <t>Nhóm Tuấn Kiệt</t>
        </is>
      </c>
      <c r="G438" s="5" t="inlineStr">
        <is>
          <t>Facebook Page</t>
        </is>
      </c>
      <c r="H438" s="5" t="inlineStr">
        <is>
          <t>Photo Story / Carousel</t>
        </is>
      </c>
      <c r="I438" s="5" t="inlineStr">
        <is>
          <t>Công nghệ &amp; AI</t>
        </is>
      </c>
      <c r="J438" s="5" t="inlineStr">
        <is>
          <t>Toàn trình (70%)</t>
        </is>
      </c>
      <c r="K438" s="12" t="n">
        <v>510622</v>
      </c>
      <c r="L438" s="12" t="n">
        <v>33547</v>
      </c>
      <c r="M438" s="13">
        <f>L438/K438</f>
        <v/>
      </c>
      <c r="N438" s="12" t="n">
        <v>32</v>
      </c>
      <c r="O438" s="13" t="n">
        <v>0.3859</v>
      </c>
      <c r="P438" s="12" t="n">
        <v>2850000</v>
      </c>
      <c r="Q438" s="12" t="n">
        <v>3850000</v>
      </c>
      <c r="R438" s="12">
        <f>Q438-P438</f>
        <v/>
      </c>
      <c r="S438" s="13">
        <f>(Q438-P438)/P438</f>
        <v/>
      </c>
      <c r="T438" s="10">
        <f>IF(AND(K438&gt;=50000, S438&gt;=0.35), "Vượt KPI", IF(AND(K438&gt;=20000, S438&gt;=0), "Đạt KPI", "Chưa đạt KPI"))</f>
        <v/>
      </c>
    </row>
    <row r="439">
      <c r="A439" s="14" t="inlineStr">
        <is>
          <t>SP-0436</t>
        </is>
      </c>
      <c r="B439" s="15" t="n">
        <v>46178</v>
      </c>
      <c r="C439" s="14" t="inlineStr">
        <is>
          <t>Tháng 06/2026</t>
        </is>
      </c>
      <c r="D439" s="14" t="inlineStr">
        <is>
          <t>Quý 2</t>
        </is>
      </c>
      <c r="E439" s="16" t="inlineStr">
        <is>
          <t>Ban Đời sống - Giới trẻ</t>
        </is>
      </c>
      <c r="F439" s="16" t="inlineStr">
        <is>
          <t>Nhóm Duy Khánh</t>
        </is>
      </c>
      <c r="G439" s="16" t="inlineStr">
        <is>
          <t>Báo Điện tử (Web)</t>
        </is>
      </c>
      <c r="H439" s="16" t="inlineStr">
        <is>
          <t>Longform / E-magazine</t>
        </is>
      </c>
      <c r="I439" s="16" t="inlineStr">
        <is>
          <t>Tài chính Cá nhân &amp; Đầu tư</t>
        </is>
      </c>
      <c r="J439" s="16" t="inlineStr">
        <is>
          <t>Hỗ trợ sâu (40%)</t>
        </is>
      </c>
      <c r="K439" s="17" t="n">
        <v>307969</v>
      </c>
      <c r="L439" s="17" t="n">
        <v>15798</v>
      </c>
      <c r="M439" s="18">
        <f>L439/K439</f>
        <v/>
      </c>
      <c r="N439" s="17" t="n">
        <v>140</v>
      </c>
      <c r="O439" s="18" t="n">
        <v>0.6237</v>
      </c>
      <c r="P439" s="17" t="n">
        <v>3950000</v>
      </c>
      <c r="Q439" s="17" t="n">
        <v>13850000</v>
      </c>
      <c r="R439" s="17">
        <f>Q439-P439</f>
        <v/>
      </c>
      <c r="S439" s="18">
        <f>(Q439-P439)/P439</f>
        <v/>
      </c>
      <c r="T439" s="14">
        <f>IF(AND(K439&gt;=50000, S439&gt;=0.35), "Vượt KPI", IF(AND(K439&gt;=20000, S439&gt;=0), "Đạt KPI", "Chưa đạt KPI"))</f>
        <v/>
      </c>
    </row>
    <row r="440">
      <c r="A440" s="10" t="inlineStr">
        <is>
          <t>SP-0437</t>
        </is>
      </c>
      <c r="B440" s="11" t="n">
        <v>46148</v>
      </c>
      <c r="C440" s="10" t="inlineStr">
        <is>
          <t>Tháng 05/2026</t>
        </is>
      </c>
      <c r="D440" s="10" t="inlineStr">
        <is>
          <t>Quý 2</t>
        </is>
      </c>
      <c r="E440" s="5" t="inlineStr">
        <is>
          <t>Ban Thời sự - Chính trị</t>
        </is>
      </c>
      <c r="F440" s="5" t="inlineStr">
        <is>
          <t>Nhóm Việt Anh</t>
        </is>
      </c>
      <c r="G440" s="5" t="inlineStr">
        <is>
          <t>Podcast / Audio</t>
        </is>
      </c>
      <c r="H440" s="5" t="inlineStr">
        <is>
          <t>Podcast Chuyên sâu (20p)</t>
        </is>
      </c>
      <c r="I440" s="5" t="inlineStr">
        <is>
          <t>Tài chính Cá nhân &amp; Đầu tư</t>
        </is>
      </c>
      <c r="J440" s="5" t="inlineStr">
        <is>
          <t>Thủ công (0%)</t>
        </is>
      </c>
      <c r="K440" s="12" t="n">
        <v>39644</v>
      </c>
      <c r="L440" s="12" t="n">
        <v>2331</v>
      </c>
      <c r="M440" s="13">
        <f>L440/K440</f>
        <v/>
      </c>
      <c r="N440" s="12" t="n">
        <v>130</v>
      </c>
      <c r="O440" s="13" t="n">
        <v>0.6081</v>
      </c>
      <c r="P440" s="12" t="n">
        <v>1850000</v>
      </c>
      <c r="Q440" s="12" t="n">
        <v>3950000</v>
      </c>
      <c r="R440" s="12">
        <f>Q440-P440</f>
        <v/>
      </c>
      <c r="S440" s="13">
        <f>(Q440-P440)/P440</f>
        <v/>
      </c>
      <c r="T440" s="10">
        <f>IF(AND(K440&gt;=50000, S440&gt;=0.35), "Vượt KPI", IF(AND(K440&gt;=20000, S440&gt;=0), "Đạt KPI", "Chưa đạt KPI"))</f>
        <v/>
      </c>
    </row>
    <row r="441">
      <c r="A441" s="14" t="inlineStr">
        <is>
          <t>SP-0438</t>
        </is>
      </c>
      <c r="B441" s="15" t="n">
        <v>46067</v>
      </c>
      <c r="C441" s="14" t="inlineStr">
        <is>
          <t>Tháng 02/2026</t>
        </is>
      </c>
      <c r="D441" s="14" t="inlineStr">
        <is>
          <t>Quý 1</t>
        </is>
      </c>
      <c r="E441" s="16" t="inlineStr">
        <is>
          <t>Ban Công nghệ &amp; AI</t>
        </is>
      </c>
      <c r="F441" s="16" t="inlineStr">
        <is>
          <t>Nhóm Tuấn Kiệt</t>
        </is>
      </c>
      <c r="G441" s="16" t="inlineStr">
        <is>
          <t>TikTok</t>
        </is>
      </c>
      <c r="H441" s="16" t="inlineStr">
        <is>
          <t>TikTok Reel (1-3p)</t>
        </is>
      </c>
      <c r="I441" s="16" t="inlineStr">
        <is>
          <t>Công nghệ &amp; AI</t>
        </is>
      </c>
      <c r="J441" s="16" t="inlineStr">
        <is>
          <t>Toàn trình (70%)</t>
        </is>
      </c>
      <c r="K441" s="17" t="n">
        <v>91425</v>
      </c>
      <c r="L441" s="17" t="n">
        <v>11300</v>
      </c>
      <c r="M441" s="18">
        <f>L441/K441</f>
        <v/>
      </c>
      <c r="N441" s="17" t="n">
        <v>44</v>
      </c>
      <c r="O441" s="18" t="n">
        <v>0.8007</v>
      </c>
      <c r="P441" s="17" t="n">
        <v>950000</v>
      </c>
      <c r="Q441" s="17" t="n">
        <v>650000</v>
      </c>
      <c r="R441" s="17">
        <f>Q441-P441</f>
        <v/>
      </c>
      <c r="S441" s="18">
        <f>(Q441-P441)/P441</f>
        <v/>
      </c>
      <c r="T441" s="14">
        <f>IF(AND(K441&gt;=50000, S441&gt;=0.35), "Vượt KPI", IF(AND(K441&gt;=20000, S441&gt;=0), "Đạt KPI", "Chưa đạt KPI"))</f>
        <v/>
      </c>
    </row>
    <row r="442">
      <c r="A442" s="10" t="inlineStr">
        <is>
          <t>SP-0439</t>
        </is>
      </c>
      <c r="B442" s="11" t="n">
        <v>46167</v>
      </c>
      <c r="C442" s="10" t="inlineStr">
        <is>
          <t>Tháng 05/2026</t>
        </is>
      </c>
      <c r="D442" s="10" t="inlineStr">
        <is>
          <t>Quý 2</t>
        </is>
      </c>
      <c r="E442" s="5" t="inlineStr">
        <is>
          <t>Ban Video &amp; Truyền hình số</t>
        </is>
      </c>
      <c r="F442" s="5" t="inlineStr">
        <is>
          <t>Nhóm Thu Trang</t>
        </is>
      </c>
      <c r="G442" s="5" t="inlineStr">
        <is>
          <t>YouTube</t>
        </is>
      </c>
      <c r="H442" s="5" t="inlineStr">
        <is>
          <t>YouTube Documentary (&gt;25p)</t>
        </is>
      </c>
      <c r="I442" s="5" t="inlineStr">
        <is>
          <t>Đời sống - Xã hội</t>
        </is>
      </c>
      <c r="J442" s="5" t="inlineStr">
        <is>
          <t>Cơ bản (15%)</t>
        </is>
      </c>
      <c r="K442" s="12" t="n">
        <v>525486</v>
      </c>
      <c r="L442" s="12" t="n">
        <v>24645</v>
      </c>
      <c r="M442" s="13">
        <f>L442/K442</f>
        <v/>
      </c>
      <c r="N442" s="12" t="n">
        <v>339</v>
      </c>
      <c r="O442" s="13" t="n">
        <v>0.6983</v>
      </c>
      <c r="P442" s="12" t="n">
        <v>18800000</v>
      </c>
      <c r="Q442" s="12" t="n">
        <v>55900000</v>
      </c>
      <c r="R442" s="12">
        <f>Q442-P442</f>
        <v/>
      </c>
      <c r="S442" s="13">
        <f>(Q442-P442)/P442</f>
        <v/>
      </c>
      <c r="T442" s="10">
        <f>IF(AND(K442&gt;=50000, S442&gt;=0.35), "Vượt KPI", IF(AND(K442&gt;=20000, S442&gt;=0), "Đạt KPI", "Chưa đạt KPI"))</f>
        <v/>
      </c>
    </row>
    <row r="443">
      <c r="A443" s="14" t="inlineStr">
        <is>
          <t>SP-0440</t>
        </is>
      </c>
      <c r="B443" s="15" t="n">
        <v>46047</v>
      </c>
      <c r="C443" s="14" t="inlineStr">
        <is>
          <t>Tháng 01/2026</t>
        </is>
      </c>
      <c r="D443" s="14" t="inlineStr">
        <is>
          <t>Quý 1</t>
        </is>
      </c>
      <c r="E443" s="16" t="inlineStr">
        <is>
          <t>Ban Video &amp; Truyền hình số</t>
        </is>
      </c>
      <c r="F443" s="16" t="inlineStr">
        <is>
          <t>Nhóm Quốc Bảo</t>
        </is>
      </c>
      <c r="G443" s="16" t="inlineStr">
        <is>
          <t>Báo Điện tử (Web)</t>
        </is>
      </c>
      <c r="H443" s="16" t="inlineStr">
        <is>
          <t>Longform / E-magazine</t>
        </is>
      </c>
      <c r="I443" s="16" t="inlineStr">
        <is>
          <t>Chính sách &amp; Pháp luật</t>
        </is>
      </c>
      <c r="J443" s="16" t="inlineStr">
        <is>
          <t>Cơ bản (15%)</t>
        </is>
      </c>
      <c r="K443" s="17" t="n">
        <v>142229</v>
      </c>
      <c r="L443" s="17" t="n">
        <v>8306</v>
      </c>
      <c r="M443" s="18">
        <f>L443/K443</f>
        <v/>
      </c>
      <c r="N443" s="17" t="n">
        <v>257</v>
      </c>
      <c r="O443" s="18" t="n">
        <v>0.356</v>
      </c>
      <c r="P443" s="17" t="n">
        <v>2400000</v>
      </c>
      <c r="Q443" s="17" t="n">
        <v>6100000</v>
      </c>
      <c r="R443" s="17">
        <f>Q443-P443</f>
        <v/>
      </c>
      <c r="S443" s="18">
        <f>(Q443-P443)/P443</f>
        <v/>
      </c>
      <c r="T443" s="14">
        <f>IF(AND(K443&gt;=50000, S443&gt;=0.35), "Vượt KPI", IF(AND(K443&gt;=20000, S443&gt;=0), "Đạt KPI", "Chưa đạt KPI"))</f>
        <v/>
      </c>
    </row>
    <row r="444">
      <c r="A444" s="10" t="inlineStr">
        <is>
          <t>SP-0441</t>
        </is>
      </c>
      <c r="B444" s="11" t="n">
        <v>46069</v>
      </c>
      <c r="C444" s="10" t="inlineStr">
        <is>
          <t>Tháng 02/2026</t>
        </is>
      </c>
      <c r="D444" s="10" t="inlineStr">
        <is>
          <t>Quý 1</t>
        </is>
      </c>
      <c r="E444" s="5" t="inlineStr">
        <is>
          <t>Ban Thời sự - Chính trị</t>
        </is>
      </c>
      <c r="F444" s="5" t="inlineStr">
        <is>
          <t>Nhóm Thanh Tâm</t>
        </is>
      </c>
      <c r="G444" s="5" t="inlineStr">
        <is>
          <t>YouTube</t>
        </is>
      </c>
      <c r="H444" s="5" t="inlineStr">
        <is>
          <t>YouTube Shorts</t>
        </is>
      </c>
      <c r="I444" s="5" t="inlineStr">
        <is>
          <t>Công nghệ &amp; AI</t>
        </is>
      </c>
      <c r="J444" s="5" t="inlineStr">
        <is>
          <t>Toàn trình (70%)</t>
        </is>
      </c>
      <c r="K444" s="12" t="n">
        <v>17871</v>
      </c>
      <c r="L444" s="12" t="n">
        <v>848</v>
      </c>
      <c r="M444" s="13">
        <f>L444/K444</f>
        <v/>
      </c>
      <c r="N444" s="12" t="n">
        <v>684</v>
      </c>
      <c r="O444" s="13" t="n">
        <v>0.5728</v>
      </c>
      <c r="P444" s="12" t="n">
        <v>7100000</v>
      </c>
      <c r="Q444" s="12" t="n">
        <v>17100000</v>
      </c>
      <c r="R444" s="12">
        <f>Q444-P444</f>
        <v/>
      </c>
      <c r="S444" s="13">
        <f>(Q444-P444)/P444</f>
        <v/>
      </c>
      <c r="T444" s="10">
        <f>IF(AND(K444&gt;=50000, S444&gt;=0.35), "Vượt KPI", IF(AND(K444&gt;=20000, S444&gt;=0), "Đạt KPI", "Chưa đạt KPI"))</f>
        <v/>
      </c>
    </row>
    <row r="445">
      <c r="A445" s="14" t="inlineStr">
        <is>
          <t>SP-0442</t>
        </is>
      </c>
      <c r="B445" s="15" t="n">
        <v>46131</v>
      </c>
      <c r="C445" s="14" t="inlineStr">
        <is>
          <t>Tháng 04/2026</t>
        </is>
      </c>
      <c r="D445" s="14" t="inlineStr">
        <is>
          <t>Quý 2</t>
        </is>
      </c>
      <c r="E445" s="16" t="inlineStr">
        <is>
          <t>Ban Video &amp; Truyền hình số</t>
        </is>
      </c>
      <c r="F445" s="16" t="inlineStr">
        <is>
          <t>Nhóm Hoàng Hải</t>
        </is>
      </c>
      <c r="G445" s="16" t="inlineStr">
        <is>
          <t>Facebook Page</t>
        </is>
      </c>
      <c r="H445" s="16" t="inlineStr">
        <is>
          <t>Video Bản tin (3-5p)</t>
        </is>
      </c>
      <c r="I445" s="16" t="inlineStr">
        <is>
          <t>Công nghệ &amp; AI</t>
        </is>
      </c>
      <c r="J445" s="16" t="inlineStr">
        <is>
          <t>Toàn trình (70%)</t>
        </is>
      </c>
      <c r="K445" s="17" t="n">
        <v>310991</v>
      </c>
      <c r="L445" s="17" t="n">
        <v>11599</v>
      </c>
      <c r="M445" s="18">
        <f>L445/K445</f>
        <v/>
      </c>
      <c r="N445" s="17" t="n">
        <v>151</v>
      </c>
      <c r="O445" s="18" t="n">
        <v>0.5296</v>
      </c>
      <c r="P445" s="17" t="n">
        <v>2900000</v>
      </c>
      <c r="Q445" s="17" t="n">
        <v>8100000</v>
      </c>
      <c r="R445" s="17">
        <f>Q445-P445</f>
        <v/>
      </c>
      <c r="S445" s="18">
        <f>(Q445-P445)/P445</f>
        <v/>
      </c>
      <c r="T445" s="14">
        <f>IF(AND(K445&gt;=50000, S445&gt;=0.35), "Vượt KPI", IF(AND(K445&gt;=20000, S445&gt;=0), "Đạt KPI", "Chưa đạt KPI"))</f>
        <v/>
      </c>
    </row>
    <row r="446">
      <c r="A446" s="10" t="inlineStr">
        <is>
          <t>SP-0443</t>
        </is>
      </c>
      <c r="B446" s="11" t="n">
        <v>46193</v>
      </c>
      <c r="C446" s="10" t="inlineStr">
        <is>
          <t>Tháng 06/2026</t>
        </is>
      </c>
      <c r="D446" s="10" t="inlineStr">
        <is>
          <t>Quý 2</t>
        </is>
      </c>
      <c r="E446" s="5" t="inlineStr">
        <is>
          <t>Ban Kinh tế - Tài chính</t>
        </is>
      </c>
      <c r="F446" s="5" t="inlineStr">
        <is>
          <t>Nhóm Đức Thịnh</t>
        </is>
      </c>
      <c r="G446" s="5" t="inlineStr">
        <is>
          <t>YouTube</t>
        </is>
      </c>
      <c r="H446" s="5" t="inlineStr">
        <is>
          <t>YouTube Long-form (10-25p)</t>
        </is>
      </c>
      <c r="I446" s="5" t="inlineStr">
        <is>
          <t>Tài chính Cá nhân &amp; Đầu tư</t>
        </is>
      </c>
      <c r="J446" s="5" t="inlineStr">
        <is>
          <t>Toàn trình (70%)</t>
        </is>
      </c>
      <c r="K446" s="12" t="n">
        <v>694361</v>
      </c>
      <c r="L446" s="12" t="n">
        <v>53257</v>
      </c>
      <c r="M446" s="13">
        <f>L446/K446</f>
        <v/>
      </c>
      <c r="N446" s="12" t="n">
        <v>237</v>
      </c>
      <c r="O446" s="13" t="n">
        <v>0.551</v>
      </c>
      <c r="P446" s="12" t="n">
        <v>12050000</v>
      </c>
      <c r="Q446" s="12" t="n">
        <v>73750000</v>
      </c>
      <c r="R446" s="12">
        <f>Q446-P446</f>
        <v/>
      </c>
      <c r="S446" s="13">
        <f>(Q446-P446)/P446</f>
        <v/>
      </c>
      <c r="T446" s="10">
        <f>IF(AND(K446&gt;=50000, S446&gt;=0.35), "Vượt KPI", IF(AND(K446&gt;=20000, S446&gt;=0), "Đạt KPI", "Chưa đạt KPI"))</f>
        <v/>
      </c>
    </row>
    <row r="447">
      <c r="A447" s="14" t="inlineStr">
        <is>
          <t>SP-0444</t>
        </is>
      </c>
      <c r="B447" s="15" t="n">
        <v>46182</v>
      </c>
      <c r="C447" s="14" t="inlineStr">
        <is>
          <t>Tháng 06/2026</t>
        </is>
      </c>
      <c r="D447" s="14" t="inlineStr">
        <is>
          <t>Quý 2</t>
        </is>
      </c>
      <c r="E447" s="16" t="inlineStr">
        <is>
          <t>Ban Đời sống - Giới trẻ</t>
        </is>
      </c>
      <c r="F447" s="16" t="inlineStr">
        <is>
          <t>Nhóm Bảo Ngọc</t>
        </is>
      </c>
      <c r="G447" s="16" t="inlineStr">
        <is>
          <t>YouTube</t>
        </is>
      </c>
      <c r="H447" s="16" t="inlineStr">
        <is>
          <t>YouTube Long-form (10-25p)</t>
        </is>
      </c>
      <c r="I447" s="16" t="inlineStr">
        <is>
          <t>Kinh tế - Thị trường</t>
        </is>
      </c>
      <c r="J447" s="16" t="inlineStr">
        <is>
          <t>Hỗ trợ sâu (40%)</t>
        </is>
      </c>
      <c r="K447" s="17" t="n">
        <v>258457</v>
      </c>
      <c r="L447" s="17" t="n">
        <v>12199</v>
      </c>
      <c r="M447" s="18">
        <f>L447/K447</f>
        <v/>
      </c>
      <c r="N447" s="17" t="n">
        <v>488</v>
      </c>
      <c r="O447" s="18" t="n">
        <v>0.6179</v>
      </c>
      <c r="P447" s="17" t="n">
        <v>12800000</v>
      </c>
      <c r="Q447" s="17" t="n">
        <v>45250000</v>
      </c>
      <c r="R447" s="17">
        <f>Q447-P447</f>
        <v/>
      </c>
      <c r="S447" s="18">
        <f>(Q447-P447)/P447</f>
        <v/>
      </c>
      <c r="T447" s="14">
        <f>IF(AND(K447&gt;=50000, S447&gt;=0.35), "Vượt KPI", IF(AND(K447&gt;=20000, S447&gt;=0), "Đạt KPI", "Chưa đạt KPI"))</f>
        <v/>
      </c>
    </row>
    <row r="448">
      <c r="A448" s="10" t="inlineStr">
        <is>
          <t>SP-0445</t>
        </is>
      </c>
      <c r="B448" s="11" t="n">
        <v>46105</v>
      </c>
      <c r="C448" s="10" t="inlineStr">
        <is>
          <t>Tháng 03/2026</t>
        </is>
      </c>
      <c r="D448" s="10" t="inlineStr">
        <is>
          <t>Quý 1</t>
        </is>
      </c>
      <c r="E448" s="5" t="inlineStr">
        <is>
          <t>Ban Thời sự - Chính trị</t>
        </is>
      </c>
      <c r="F448" s="5" t="inlineStr">
        <is>
          <t>Nhóm Việt Anh</t>
        </is>
      </c>
      <c r="G448" s="5" t="inlineStr">
        <is>
          <t>TikTok</t>
        </is>
      </c>
      <c r="H448" s="5" t="inlineStr">
        <is>
          <t>Short Video (&lt;60s)</t>
        </is>
      </c>
      <c r="I448" s="5" t="inlineStr">
        <is>
          <t>Tài chính Cá nhân &amp; Đầu tư</t>
        </is>
      </c>
      <c r="J448" s="5" t="inlineStr">
        <is>
          <t>Cơ bản (15%)</t>
        </is>
      </c>
      <c r="K448" s="12" t="n">
        <v>88635</v>
      </c>
      <c r="L448" s="12" t="n">
        <v>7427</v>
      </c>
      <c r="M448" s="13">
        <f>L448/K448</f>
        <v/>
      </c>
      <c r="N448" s="12" t="n">
        <v>63</v>
      </c>
      <c r="O448" s="13" t="n">
        <v>0.5478</v>
      </c>
      <c r="P448" s="12" t="n">
        <v>2850000</v>
      </c>
      <c r="Q448" s="12" t="n">
        <v>2500000</v>
      </c>
      <c r="R448" s="12">
        <f>Q448-P448</f>
        <v/>
      </c>
      <c r="S448" s="13">
        <f>(Q448-P448)/P448</f>
        <v/>
      </c>
      <c r="T448" s="10">
        <f>IF(AND(K448&gt;=50000, S448&gt;=0.35), "Vượt KPI", IF(AND(K448&gt;=20000, S448&gt;=0), "Đạt KPI", "Chưa đạt KPI"))</f>
        <v/>
      </c>
    </row>
    <row r="449">
      <c r="A449" s="14" t="inlineStr">
        <is>
          <t>SP-0446</t>
        </is>
      </c>
      <c r="B449" s="15" t="n">
        <v>46082</v>
      </c>
      <c r="C449" s="14" t="inlineStr">
        <is>
          <t>Tháng 03/2026</t>
        </is>
      </c>
      <c r="D449" s="14" t="inlineStr">
        <is>
          <t>Quý 1</t>
        </is>
      </c>
      <c r="E449" s="16" t="inlineStr">
        <is>
          <t>Ban Thời sự - Chính trị</t>
        </is>
      </c>
      <c r="F449" s="16" t="inlineStr">
        <is>
          <t>Nhóm Việt Anh</t>
        </is>
      </c>
      <c r="G449" s="16" t="inlineStr">
        <is>
          <t>TikTok</t>
        </is>
      </c>
      <c r="H449" s="16" t="inlineStr">
        <is>
          <t>Short Video (&lt;60s)</t>
        </is>
      </c>
      <c r="I449" s="16" t="inlineStr">
        <is>
          <t>Tài chính Cá nhân &amp; Đầu tư</t>
        </is>
      </c>
      <c r="J449" s="16" t="inlineStr">
        <is>
          <t>Thủ công (0%)</t>
        </is>
      </c>
      <c r="K449" s="17" t="n">
        <v>328103</v>
      </c>
      <c r="L449" s="17" t="n">
        <v>29562</v>
      </c>
      <c r="M449" s="18">
        <f>L449/K449</f>
        <v/>
      </c>
      <c r="N449" s="17" t="n">
        <v>68</v>
      </c>
      <c r="O449" s="18" t="n">
        <v>0.3919</v>
      </c>
      <c r="P449" s="17" t="n">
        <v>2100000</v>
      </c>
      <c r="Q449" s="17" t="n">
        <v>7300000</v>
      </c>
      <c r="R449" s="17">
        <f>Q449-P449</f>
        <v/>
      </c>
      <c r="S449" s="18">
        <f>(Q449-P449)/P449</f>
        <v/>
      </c>
      <c r="T449" s="14">
        <f>IF(AND(K449&gt;=50000, S449&gt;=0.35), "Vượt KPI", IF(AND(K449&gt;=20000, S449&gt;=0), "Đạt KPI", "Chưa đạt KPI"))</f>
        <v/>
      </c>
    </row>
    <row r="450">
      <c r="A450" s="10" t="inlineStr">
        <is>
          <t>SP-0447</t>
        </is>
      </c>
      <c r="B450" s="11" t="n">
        <v>46169</v>
      </c>
      <c r="C450" s="10" t="inlineStr">
        <is>
          <t>Tháng 05/2026</t>
        </is>
      </c>
      <c r="D450" s="10" t="inlineStr">
        <is>
          <t>Quý 2</t>
        </is>
      </c>
      <c r="E450" s="5" t="inlineStr">
        <is>
          <t>Ban Phóng sự - Điều tra</t>
        </is>
      </c>
      <c r="F450" s="5" t="inlineStr">
        <is>
          <t>Nhóm Hải Đăng</t>
        </is>
      </c>
      <c r="G450" s="5" t="inlineStr">
        <is>
          <t>Báo Điện tử (Web)</t>
        </is>
      </c>
      <c r="H450" s="5" t="inlineStr">
        <is>
          <t>Longform / E-magazine</t>
        </is>
      </c>
      <c r="I450" s="5" t="inlineStr">
        <is>
          <t>Phóng sự Điều tra</t>
        </is>
      </c>
      <c r="J450" s="5" t="inlineStr">
        <is>
          <t>Hỗ trợ sâu (40%)</t>
        </is>
      </c>
      <c r="K450" s="12" t="n">
        <v>57092</v>
      </c>
      <c r="L450" s="12" t="n">
        <v>2192</v>
      </c>
      <c r="M450" s="13">
        <f>L450/K450</f>
        <v/>
      </c>
      <c r="N450" s="12" t="n">
        <v>223</v>
      </c>
      <c r="O450" s="13" t="n">
        <v>0.5011</v>
      </c>
      <c r="P450" s="12" t="n">
        <v>6350000</v>
      </c>
      <c r="Q450" s="12" t="n">
        <v>20450000</v>
      </c>
      <c r="R450" s="12">
        <f>Q450-P450</f>
        <v/>
      </c>
      <c r="S450" s="13">
        <f>(Q450-P450)/P450</f>
        <v/>
      </c>
      <c r="T450" s="10">
        <f>IF(AND(K450&gt;=50000, S450&gt;=0.35), "Vượt KPI", IF(AND(K450&gt;=20000, S450&gt;=0), "Đạt KPI", "Chưa đạt KPI"))</f>
        <v/>
      </c>
    </row>
    <row r="451">
      <c r="A451" s="14" t="inlineStr">
        <is>
          <t>SP-0448</t>
        </is>
      </c>
      <c r="B451" s="15" t="n">
        <v>46043</v>
      </c>
      <c r="C451" s="14" t="inlineStr">
        <is>
          <t>Tháng 01/2026</t>
        </is>
      </c>
      <c r="D451" s="14" t="inlineStr">
        <is>
          <t>Quý 1</t>
        </is>
      </c>
      <c r="E451" s="16" t="inlineStr">
        <is>
          <t>Ban Thời sự - Chính trị</t>
        </is>
      </c>
      <c r="F451" s="16" t="inlineStr">
        <is>
          <t>Nhóm Thanh Tâm</t>
        </is>
      </c>
      <c r="G451" s="16" t="inlineStr">
        <is>
          <t>Báo Điện tử (Web)</t>
        </is>
      </c>
      <c r="H451" s="16" t="inlineStr">
        <is>
          <t>Longform / E-magazine</t>
        </is>
      </c>
      <c r="I451" s="16" t="inlineStr">
        <is>
          <t>Công nghệ &amp; AI</t>
        </is>
      </c>
      <c r="J451" s="16" t="inlineStr">
        <is>
          <t>Toàn trình (70%)</t>
        </is>
      </c>
      <c r="K451" s="17" t="n">
        <v>10393</v>
      </c>
      <c r="L451" s="17" t="n">
        <v>981</v>
      </c>
      <c r="M451" s="18">
        <f>L451/K451</f>
        <v/>
      </c>
      <c r="N451" s="17" t="n">
        <v>230</v>
      </c>
      <c r="O451" s="18" t="n">
        <v>0.4611</v>
      </c>
      <c r="P451" s="17" t="n">
        <v>1600000</v>
      </c>
      <c r="Q451" s="17" t="n">
        <v>750000</v>
      </c>
      <c r="R451" s="17">
        <f>Q451-P451</f>
        <v/>
      </c>
      <c r="S451" s="18">
        <f>(Q451-P451)/P451</f>
        <v/>
      </c>
      <c r="T451" s="14">
        <f>IF(AND(K451&gt;=50000, S451&gt;=0.35), "Vượt KPI", IF(AND(K451&gt;=20000, S451&gt;=0), "Đạt KPI", "Chưa đạt KPI"))</f>
        <v/>
      </c>
    </row>
    <row r="452">
      <c r="A452" s="10" t="inlineStr">
        <is>
          <t>SP-0449</t>
        </is>
      </c>
      <c r="B452" s="11" t="n">
        <v>46199</v>
      </c>
      <c r="C452" s="10" t="inlineStr">
        <is>
          <t>Tháng 06/2026</t>
        </is>
      </c>
      <c r="D452" s="10" t="inlineStr">
        <is>
          <t>Quý 2</t>
        </is>
      </c>
      <c r="E452" s="5" t="inlineStr">
        <is>
          <t>Ban Đời sống - Giới trẻ</t>
        </is>
      </c>
      <c r="F452" s="5" t="inlineStr">
        <is>
          <t>Nhóm Phương Thảo</t>
        </is>
      </c>
      <c r="G452" s="5" t="inlineStr">
        <is>
          <t>Facebook Page</t>
        </is>
      </c>
      <c r="H452" s="5" t="inlineStr">
        <is>
          <t>Facebook Reels</t>
        </is>
      </c>
      <c r="I452" s="5" t="inlineStr">
        <is>
          <t>Chính sách &amp; Pháp luật</t>
        </is>
      </c>
      <c r="J452" s="5" t="inlineStr">
        <is>
          <t>Hỗ trợ sâu (40%)</t>
        </is>
      </c>
      <c r="K452" s="12" t="n">
        <v>325694</v>
      </c>
      <c r="L452" s="12" t="n">
        <v>8142</v>
      </c>
      <c r="M452" s="13">
        <f>L452/K452</f>
        <v/>
      </c>
      <c r="N452" s="12" t="n">
        <v>184</v>
      </c>
      <c r="O452" s="13" t="n">
        <v>0.4984</v>
      </c>
      <c r="P452" s="12" t="n">
        <v>800000</v>
      </c>
      <c r="Q452" s="12" t="n">
        <v>1050000</v>
      </c>
      <c r="R452" s="12">
        <f>Q452-P452</f>
        <v/>
      </c>
      <c r="S452" s="13">
        <f>(Q452-P452)/P452</f>
        <v/>
      </c>
      <c r="T452" s="10">
        <f>IF(AND(K452&gt;=50000, S452&gt;=0.35), "Vượt KPI", IF(AND(K452&gt;=20000, S452&gt;=0), "Đạt KPI", "Chưa đạt KPI"))</f>
        <v/>
      </c>
    </row>
    <row r="453">
      <c r="A453" s="14" t="inlineStr">
        <is>
          <t>SP-0450</t>
        </is>
      </c>
      <c r="B453" s="15" t="n">
        <v>46158</v>
      </c>
      <c r="C453" s="14" t="inlineStr">
        <is>
          <t>Tháng 05/2026</t>
        </is>
      </c>
      <c r="D453" s="14" t="inlineStr">
        <is>
          <t>Quý 2</t>
        </is>
      </c>
      <c r="E453" s="16" t="inlineStr">
        <is>
          <t>Ban Công nghệ &amp; AI</t>
        </is>
      </c>
      <c r="F453" s="16" t="inlineStr">
        <is>
          <t>Nhóm Tuấn Kiệt</t>
        </is>
      </c>
      <c r="G453" s="16" t="inlineStr">
        <is>
          <t>Báo Điện tử (Web)</t>
        </is>
      </c>
      <c r="H453" s="16" t="inlineStr">
        <is>
          <t>Tin bài Đa phương tiện</t>
        </is>
      </c>
      <c r="I453" s="16" t="inlineStr">
        <is>
          <t>Giáo dục &amp; Tuyển sinh</t>
        </is>
      </c>
      <c r="J453" s="16" t="inlineStr">
        <is>
          <t>Hỗ trợ sâu (40%)</t>
        </is>
      </c>
      <c r="K453" s="17" t="n">
        <v>66956</v>
      </c>
      <c r="L453" s="17" t="n">
        <v>3334</v>
      </c>
      <c r="M453" s="18">
        <f>L453/K453</f>
        <v/>
      </c>
      <c r="N453" s="17" t="n">
        <v>229</v>
      </c>
      <c r="O453" s="18" t="n">
        <v>0.7209</v>
      </c>
      <c r="P453" s="17" t="n">
        <v>1450000</v>
      </c>
      <c r="Q453" s="17" t="n">
        <v>4100000</v>
      </c>
      <c r="R453" s="17">
        <f>Q453-P453</f>
        <v/>
      </c>
      <c r="S453" s="18">
        <f>(Q453-P453)/P453</f>
        <v/>
      </c>
      <c r="T453" s="14">
        <f>IF(AND(K453&gt;=50000, S453&gt;=0.35), "Vượt KPI", IF(AND(K453&gt;=20000, S453&gt;=0), "Đạt KPI", "Chưa đạt KPI"))</f>
        <v/>
      </c>
    </row>
    <row r="454">
      <c r="A454" s="10" t="inlineStr">
        <is>
          <t>SP-0451</t>
        </is>
      </c>
      <c r="B454" s="11" t="n">
        <v>46113</v>
      </c>
      <c r="C454" s="10" t="inlineStr">
        <is>
          <t>Tháng 04/2026</t>
        </is>
      </c>
      <c r="D454" s="10" t="inlineStr">
        <is>
          <t>Quý 2</t>
        </is>
      </c>
      <c r="E454" s="5" t="inlineStr">
        <is>
          <t>Ban Thời sự - Chính trị</t>
        </is>
      </c>
      <c r="F454" s="5" t="inlineStr">
        <is>
          <t>Nhóm Quang Huy</t>
        </is>
      </c>
      <c r="G454" s="5" t="inlineStr">
        <is>
          <t>Podcast / Audio</t>
        </is>
      </c>
      <c r="H454" s="5" t="inlineStr">
        <is>
          <t>Podcast Chuyên sâu (20p)</t>
        </is>
      </c>
      <c r="I454" s="5" t="inlineStr">
        <is>
          <t>Phóng sự Điều tra</t>
        </is>
      </c>
      <c r="J454" s="5" t="inlineStr">
        <is>
          <t>Toàn trình (70%)</t>
        </is>
      </c>
      <c r="K454" s="12" t="n">
        <v>6903</v>
      </c>
      <c r="L454" s="12" t="n">
        <v>206</v>
      </c>
      <c r="M454" s="13">
        <f>L454/K454</f>
        <v/>
      </c>
      <c r="N454" s="12" t="n">
        <v>357</v>
      </c>
      <c r="O454" s="13" t="n">
        <v>0.5141</v>
      </c>
      <c r="P454" s="12" t="n">
        <v>2000000</v>
      </c>
      <c r="Q454" s="12" t="n">
        <v>3250000</v>
      </c>
      <c r="R454" s="12">
        <f>Q454-P454</f>
        <v/>
      </c>
      <c r="S454" s="13">
        <f>(Q454-P454)/P454</f>
        <v/>
      </c>
      <c r="T454" s="10">
        <f>IF(AND(K454&gt;=50000, S454&gt;=0.35), "Vượt KPI", IF(AND(K454&gt;=20000, S454&gt;=0), "Đạt KPI", "Chưa đạt KPI"))</f>
        <v/>
      </c>
    </row>
    <row r="455">
      <c r="A455" s="14" t="inlineStr">
        <is>
          <t>SP-0452</t>
        </is>
      </c>
      <c r="B455" s="15" t="n">
        <v>46149</v>
      </c>
      <c r="C455" s="14" t="inlineStr">
        <is>
          <t>Tháng 05/2026</t>
        </is>
      </c>
      <c r="D455" s="14" t="inlineStr">
        <is>
          <t>Quý 2</t>
        </is>
      </c>
      <c r="E455" s="16" t="inlineStr">
        <is>
          <t>Ban Công nghệ &amp; AI</t>
        </is>
      </c>
      <c r="F455" s="16" t="inlineStr">
        <is>
          <t>Nhóm Tuấn Kiệt</t>
        </is>
      </c>
      <c r="G455" s="16" t="inlineStr">
        <is>
          <t>Báo Điện tử (Web)</t>
        </is>
      </c>
      <c r="H455" s="16" t="inlineStr">
        <is>
          <t>Infographic / Mega Story</t>
        </is>
      </c>
      <c r="I455" s="16" t="inlineStr">
        <is>
          <t>Giáo dục &amp; Tuyển sinh</t>
        </is>
      </c>
      <c r="J455" s="16" t="inlineStr">
        <is>
          <t>Cơ bản (15%)</t>
        </is>
      </c>
      <c r="K455" s="17" t="n">
        <v>30365</v>
      </c>
      <c r="L455" s="17" t="n">
        <v>2556</v>
      </c>
      <c r="M455" s="18">
        <f>L455/K455</f>
        <v/>
      </c>
      <c r="N455" s="17" t="n">
        <v>215</v>
      </c>
      <c r="O455" s="18" t="n">
        <v>0.6369</v>
      </c>
      <c r="P455" s="17" t="n">
        <v>2200000</v>
      </c>
      <c r="Q455" s="17" t="n">
        <v>2750000</v>
      </c>
      <c r="R455" s="17">
        <f>Q455-P455</f>
        <v/>
      </c>
      <c r="S455" s="18">
        <f>(Q455-P455)/P455</f>
        <v/>
      </c>
      <c r="T455" s="14">
        <f>IF(AND(K455&gt;=50000, S455&gt;=0.35), "Vượt KPI", IF(AND(K455&gt;=20000, S455&gt;=0), "Đạt KPI", "Chưa đạt KPI"))</f>
        <v/>
      </c>
    </row>
    <row r="456">
      <c r="A456" s="10" t="inlineStr">
        <is>
          <t>SP-0453</t>
        </is>
      </c>
      <c r="B456" s="11" t="n">
        <v>46091</v>
      </c>
      <c r="C456" s="10" t="inlineStr">
        <is>
          <t>Tháng 03/2026</t>
        </is>
      </c>
      <c r="D456" s="10" t="inlineStr">
        <is>
          <t>Quý 1</t>
        </is>
      </c>
      <c r="E456" s="5" t="inlineStr">
        <is>
          <t>Ban Kinh tế - Tài chính</t>
        </is>
      </c>
      <c r="F456" s="5" t="inlineStr">
        <is>
          <t>Nhóm Đức Thịnh</t>
        </is>
      </c>
      <c r="G456" s="5" t="inlineStr">
        <is>
          <t>YouTube</t>
        </is>
      </c>
      <c r="H456" s="5" t="inlineStr">
        <is>
          <t>YouTube Shorts</t>
        </is>
      </c>
      <c r="I456" s="5" t="inlineStr">
        <is>
          <t>Chính sách &amp; Pháp luật</t>
        </is>
      </c>
      <c r="J456" s="5" t="inlineStr">
        <is>
          <t>Hỗ trợ sâu (40%)</t>
        </is>
      </c>
      <c r="K456" s="12" t="n">
        <v>663160</v>
      </c>
      <c r="L456" s="12" t="n">
        <v>45293</v>
      </c>
      <c r="M456" s="13">
        <f>L456/K456</f>
        <v/>
      </c>
      <c r="N456" s="12" t="n">
        <v>235</v>
      </c>
      <c r="O456" s="13" t="n">
        <v>0.4319</v>
      </c>
      <c r="P456" s="12" t="n">
        <v>2150000</v>
      </c>
      <c r="Q456" s="12" t="n">
        <v>8000000</v>
      </c>
      <c r="R456" s="12">
        <f>Q456-P456</f>
        <v/>
      </c>
      <c r="S456" s="13">
        <f>(Q456-P456)/P456</f>
        <v/>
      </c>
      <c r="T456" s="10">
        <f>IF(AND(K456&gt;=50000, S456&gt;=0.35), "Vượt KPI", IF(AND(K456&gt;=20000, S456&gt;=0), "Đạt KPI", "Chưa đạt KPI"))</f>
        <v/>
      </c>
    </row>
    <row r="457">
      <c r="A457" s="14" t="inlineStr">
        <is>
          <t>SP-0454</t>
        </is>
      </c>
      <c r="B457" s="15" t="n">
        <v>46152</v>
      </c>
      <c r="C457" s="14" t="inlineStr">
        <is>
          <t>Tháng 05/2026</t>
        </is>
      </c>
      <c r="D457" s="14" t="inlineStr">
        <is>
          <t>Quý 2</t>
        </is>
      </c>
      <c r="E457" s="16" t="inlineStr">
        <is>
          <t>Ban Đời sống - Giới trẻ</t>
        </is>
      </c>
      <c r="F457" s="16" t="inlineStr">
        <is>
          <t>Nhóm Phương Thảo</t>
        </is>
      </c>
      <c r="G457" s="16" t="inlineStr">
        <is>
          <t>TikTok</t>
        </is>
      </c>
      <c r="H457" s="16" t="inlineStr">
        <is>
          <t>Short Video (&lt;60s)</t>
        </is>
      </c>
      <c r="I457" s="16" t="inlineStr">
        <is>
          <t>Chính sách &amp; Pháp luật</t>
        </is>
      </c>
      <c r="J457" s="16" t="inlineStr">
        <is>
          <t>Hỗ trợ sâu (40%)</t>
        </is>
      </c>
      <c r="K457" s="17" t="n">
        <v>740985</v>
      </c>
      <c r="L457" s="17" t="n">
        <v>59797</v>
      </c>
      <c r="M457" s="18">
        <f>L457/K457</f>
        <v/>
      </c>
      <c r="N457" s="17" t="n">
        <v>21</v>
      </c>
      <c r="O457" s="18" t="n">
        <v>0.6302</v>
      </c>
      <c r="P457" s="17" t="n">
        <v>1450000</v>
      </c>
      <c r="Q457" s="17" t="n">
        <v>2950000</v>
      </c>
      <c r="R457" s="17">
        <f>Q457-P457</f>
        <v/>
      </c>
      <c r="S457" s="18">
        <f>(Q457-P457)/P457</f>
        <v/>
      </c>
      <c r="T457" s="14">
        <f>IF(AND(K457&gt;=50000, S457&gt;=0.35), "Vượt KPI", IF(AND(K457&gt;=20000, S457&gt;=0), "Đạt KPI", "Chưa đạt KPI"))</f>
        <v/>
      </c>
    </row>
    <row r="458">
      <c r="A458" s="10" t="inlineStr">
        <is>
          <t>SP-0455</t>
        </is>
      </c>
      <c r="B458" s="11" t="n">
        <v>46083</v>
      </c>
      <c r="C458" s="10" t="inlineStr">
        <is>
          <t>Tháng 03/2026</t>
        </is>
      </c>
      <c r="D458" s="10" t="inlineStr">
        <is>
          <t>Quý 1</t>
        </is>
      </c>
      <c r="E458" s="5" t="inlineStr">
        <is>
          <t>Ban Video &amp; Truyền hình số</t>
        </is>
      </c>
      <c r="F458" s="5" t="inlineStr">
        <is>
          <t>Nhóm Thu Trang</t>
        </is>
      </c>
      <c r="G458" s="5" t="inlineStr">
        <is>
          <t>TikTok</t>
        </is>
      </c>
      <c r="H458" s="5" t="inlineStr">
        <is>
          <t>Short Video (&lt;60s)</t>
        </is>
      </c>
      <c r="I458" s="5" t="inlineStr">
        <is>
          <t>Tài chính Cá nhân &amp; Đầu tư</t>
        </is>
      </c>
      <c r="J458" s="5" t="inlineStr">
        <is>
          <t>Hỗ trợ sâu (40%)</t>
        </is>
      </c>
      <c r="K458" s="12" t="n">
        <v>220670</v>
      </c>
      <c r="L458" s="12" t="n">
        <v>24759</v>
      </c>
      <c r="M458" s="13">
        <f>L458/K458</f>
        <v/>
      </c>
      <c r="N458" s="12" t="n">
        <v>31</v>
      </c>
      <c r="O458" s="13" t="n">
        <v>0.7507</v>
      </c>
      <c r="P458" s="12" t="n">
        <v>1150000</v>
      </c>
      <c r="Q458" s="12" t="n">
        <v>3900000</v>
      </c>
      <c r="R458" s="12">
        <f>Q458-P458</f>
        <v/>
      </c>
      <c r="S458" s="13">
        <f>(Q458-P458)/P458</f>
        <v/>
      </c>
      <c r="T458" s="10">
        <f>IF(AND(K458&gt;=50000, S458&gt;=0.35), "Vượt KPI", IF(AND(K458&gt;=20000, S458&gt;=0), "Đạt KPI", "Chưa đạt KPI"))</f>
        <v/>
      </c>
    </row>
    <row r="459">
      <c r="A459" s="14" t="inlineStr">
        <is>
          <t>SP-0456</t>
        </is>
      </c>
      <c r="B459" s="15" t="n">
        <v>46200</v>
      </c>
      <c r="C459" s="14" t="inlineStr">
        <is>
          <t>Tháng 06/2026</t>
        </is>
      </c>
      <c r="D459" s="14" t="inlineStr">
        <is>
          <t>Quý 2</t>
        </is>
      </c>
      <c r="E459" s="16" t="inlineStr">
        <is>
          <t>Ban Video &amp; Truyền hình số</t>
        </is>
      </c>
      <c r="F459" s="16" t="inlineStr">
        <is>
          <t>Nhóm Quốc Bảo</t>
        </is>
      </c>
      <c r="G459" s="16" t="inlineStr">
        <is>
          <t>Podcast / Audio</t>
        </is>
      </c>
      <c r="H459" s="16" t="inlineStr">
        <is>
          <t>Điểm tin Audio AI (5p)</t>
        </is>
      </c>
      <c r="I459" s="16" t="inlineStr">
        <is>
          <t>Kinh tế - Thị trường</t>
        </is>
      </c>
      <c r="J459" s="16" t="inlineStr">
        <is>
          <t>Toàn trình (70%)</t>
        </is>
      </c>
      <c r="K459" s="17" t="n">
        <v>116476</v>
      </c>
      <c r="L459" s="17" t="n">
        <v>2562</v>
      </c>
      <c r="M459" s="18">
        <f>L459/K459</f>
        <v/>
      </c>
      <c r="N459" s="17" t="n">
        <v>135</v>
      </c>
      <c r="O459" s="18" t="n">
        <v>0.6853</v>
      </c>
      <c r="P459" s="17" t="n">
        <v>2000000</v>
      </c>
      <c r="Q459" s="17" t="n">
        <v>4500000</v>
      </c>
      <c r="R459" s="17">
        <f>Q459-P459</f>
        <v/>
      </c>
      <c r="S459" s="18">
        <f>(Q459-P459)/P459</f>
        <v/>
      </c>
      <c r="T459" s="14">
        <f>IF(AND(K459&gt;=50000, S459&gt;=0.35), "Vượt KPI", IF(AND(K459&gt;=20000, S459&gt;=0), "Đạt KPI", "Chưa đạt KPI"))</f>
        <v/>
      </c>
    </row>
    <row r="460">
      <c r="A460" s="10" t="inlineStr">
        <is>
          <t>SP-0457</t>
        </is>
      </c>
      <c r="B460" s="11" t="n">
        <v>46108</v>
      </c>
      <c r="C460" s="10" t="inlineStr">
        <is>
          <t>Tháng 03/2026</t>
        </is>
      </c>
      <c r="D460" s="10" t="inlineStr">
        <is>
          <t>Quý 1</t>
        </is>
      </c>
      <c r="E460" s="5" t="inlineStr">
        <is>
          <t>Ban Phóng sự - Điều tra</t>
        </is>
      </c>
      <c r="F460" s="5" t="inlineStr">
        <is>
          <t>Nhóm Trọng Nghĩa</t>
        </is>
      </c>
      <c r="G460" s="5" t="inlineStr">
        <is>
          <t>YouTube</t>
        </is>
      </c>
      <c r="H460" s="5" t="inlineStr">
        <is>
          <t>YouTube Shorts</t>
        </is>
      </c>
      <c r="I460" s="5" t="inlineStr">
        <is>
          <t>Chính sách &amp; Pháp luật</t>
        </is>
      </c>
      <c r="J460" s="5" t="inlineStr">
        <is>
          <t>Hỗ trợ sâu (40%)</t>
        </is>
      </c>
      <c r="K460" s="12" t="n">
        <v>91324</v>
      </c>
      <c r="L460" s="12" t="n">
        <v>2995</v>
      </c>
      <c r="M460" s="13">
        <f>L460/K460</f>
        <v/>
      </c>
      <c r="N460" s="12" t="n">
        <v>574</v>
      </c>
      <c r="O460" s="13" t="n">
        <v>0.3688</v>
      </c>
      <c r="P460" s="12" t="n">
        <v>7200000</v>
      </c>
      <c r="Q460" s="12" t="n">
        <v>30400000</v>
      </c>
      <c r="R460" s="12">
        <f>Q460-P460</f>
        <v/>
      </c>
      <c r="S460" s="13">
        <f>(Q460-P460)/P460</f>
        <v/>
      </c>
      <c r="T460" s="10">
        <f>IF(AND(K460&gt;=50000, S460&gt;=0.35), "Vượt KPI", IF(AND(K460&gt;=20000, S460&gt;=0), "Đạt KPI", "Chưa đạt KPI"))</f>
        <v/>
      </c>
    </row>
    <row r="461">
      <c r="A461" s="14" t="inlineStr">
        <is>
          <t>SP-0458</t>
        </is>
      </c>
      <c r="B461" s="15" t="n">
        <v>46109</v>
      </c>
      <c r="C461" s="14" t="inlineStr">
        <is>
          <t>Tháng 03/2026</t>
        </is>
      </c>
      <c r="D461" s="14" t="inlineStr">
        <is>
          <t>Quý 1</t>
        </is>
      </c>
      <c r="E461" s="16" t="inlineStr">
        <is>
          <t>Ban Đời sống - Giới trẻ</t>
        </is>
      </c>
      <c r="F461" s="16" t="inlineStr">
        <is>
          <t>Nhóm Bảo Ngọc</t>
        </is>
      </c>
      <c r="G461" s="16" t="inlineStr">
        <is>
          <t>Báo Điện tử (Web)</t>
        </is>
      </c>
      <c r="H461" s="16" t="inlineStr">
        <is>
          <t>Tin bài Đa phương tiện</t>
        </is>
      </c>
      <c r="I461" s="16" t="inlineStr">
        <is>
          <t>Giáo dục &amp; Tuyển sinh</t>
        </is>
      </c>
      <c r="J461" s="16" t="inlineStr">
        <is>
          <t>Cơ bản (15%)</t>
        </is>
      </c>
      <c r="K461" s="17" t="n">
        <v>113636</v>
      </c>
      <c r="L461" s="17" t="n">
        <v>6374</v>
      </c>
      <c r="M461" s="18">
        <f>L461/K461</f>
        <v/>
      </c>
      <c r="N461" s="17" t="n">
        <v>231</v>
      </c>
      <c r="O461" s="18" t="n">
        <v>0.3278</v>
      </c>
      <c r="P461" s="17" t="n">
        <v>5600000</v>
      </c>
      <c r="Q461" s="17" t="n">
        <v>8450000</v>
      </c>
      <c r="R461" s="17">
        <f>Q461-P461</f>
        <v/>
      </c>
      <c r="S461" s="18">
        <f>(Q461-P461)/P461</f>
        <v/>
      </c>
      <c r="T461" s="14">
        <f>IF(AND(K461&gt;=50000, S461&gt;=0.35), "Vượt KPI", IF(AND(K461&gt;=20000, S461&gt;=0), "Đạt KPI", "Chưa đạt KPI"))</f>
        <v/>
      </c>
    </row>
    <row r="462">
      <c r="A462" s="10" t="inlineStr">
        <is>
          <t>SP-0459</t>
        </is>
      </c>
      <c r="B462" s="11" t="n">
        <v>46133</v>
      </c>
      <c r="C462" s="10" t="inlineStr">
        <is>
          <t>Tháng 04/2026</t>
        </is>
      </c>
      <c r="D462" s="10" t="inlineStr">
        <is>
          <t>Quý 2</t>
        </is>
      </c>
      <c r="E462" s="5" t="inlineStr">
        <is>
          <t>Ban Video &amp; Truyền hình số</t>
        </is>
      </c>
      <c r="F462" s="5" t="inlineStr">
        <is>
          <t>Nhóm Quốc Bảo</t>
        </is>
      </c>
      <c r="G462" s="5" t="inlineStr">
        <is>
          <t>TikTok</t>
        </is>
      </c>
      <c r="H462" s="5" t="inlineStr">
        <is>
          <t>TikTok Reel (1-3p)</t>
        </is>
      </c>
      <c r="I462" s="5" t="inlineStr">
        <is>
          <t>Chính sách &amp; Pháp luật</t>
        </is>
      </c>
      <c r="J462" s="5" t="inlineStr">
        <is>
          <t>Hỗ trợ sâu (40%)</t>
        </is>
      </c>
      <c r="K462" s="12" t="n">
        <v>99114</v>
      </c>
      <c r="L462" s="12" t="n">
        <v>9534</v>
      </c>
      <c r="M462" s="13">
        <f>L462/K462</f>
        <v/>
      </c>
      <c r="N462" s="12" t="n">
        <v>67</v>
      </c>
      <c r="O462" s="13" t="n">
        <v>0.641</v>
      </c>
      <c r="P462" s="12" t="n">
        <v>2000000</v>
      </c>
      <c r="Q462" s="12" t="n">
        <v>4300000</v>
      </c>
      <c r="R462" s="12">
        <f>Q462-P462</f>
        <v/>
      </c>
      <c r="S462" s="13">
        <f>(Q462-P462)/P462</f>
        <v/>
      </c>
      <c r="T462" s="10">
        <f>IF(AND(K462&gt;=50000, S462&gt;=0.35), "Vượt KPI", IF(AND(K462&gt;=20000, S462&gt;=0), "Đạt KPI", "Chưa đạt KPI"))</f>
        <v/>
      </c>
    </row>
    <row r="463">
      <c r="A463" s="14" t="inlineStr">
        <is>
          <t>SP-0460</t>
        </is>
      </c>
      <c r="B463" s="15" t="n">
        <v>46096</v>
      </c>
      <c r="C463" s="14" t="inlineStr">
        <is>
          <t>Tháng 03/2026</t>
        </is>
      </c>
      <c r="D463" s="14" t="inlineStr">
        <is>
          <t>Quý 1</t>
        </is>
      </c>
      <c r="E463" s="16" t="inlineStr">
        <is>
          <t>Ban Đời sống - Giới trẻ</t>
        </is>
      </c>
      <c r="F463" s="16" t="inlineStr">
        <is>
          <t>Nhóm Duy Khánh</t>
        </is>
      </c>
      <c r="G463" s="16" t="inlineStr">
        <is>
          <t>YouTube</t>
        </is>
      </c>
      <c r="H463" s="16" t="inlineStr">
        <is>
          <t>YouTube Documentary (&gt;25p)</t>
        </is>
      </c>
      <c r="I463" s="16" t="inlineStr">
        <is>
          <t>Tài chính Cá nhân &amp; Đầu tư</t>
        </is>
      </c>
      <c r="J463" s="16" t="inlineStr">
        <is>
          <t>Hỗ trợ sâu (40%)</t>
        </is>
      </c>
      <c r="K463" s="17" t="n">
        <v>473263</v>
      </c>
      <c r="L463" s="17" t="n">
        <v>30288</v>
      </c>
      <c r="M463" s="18">
        <f>L463/K463</f>
        <v/>
      </c>
      <c r="N463" s="17" t="n">
        <v>305</v>
      </c>
      <c r="O463" s="18" t="n">
        <v>0.6983</v>
      </c>
      <c r="P463" s="17" t="n">
        <v>10400000</v>
      </c>
      <c r="Q463" s="17" t="n">
        <v>60150000</v>
      </c>
      <c r="R463" s="17">
        <f>Q463-P463</f>
        <v/>
      </c>
      <c r="S463" s="18">
        <f>(Q463-P463)/P463</f>
        <v/>
      </c>
      <c r="T463" s="14">
        <f>IF(AND(K463&gt;=50000, S463&gt;=0.35), "Vượt KPI", IF(AND(K463&gt;=20000, S463&gt;=0), "Đạt KPI", "Chưa đạt KPI"))</f>
        <v/>
      </c>
    </row>
    <row r="464">
      <c r="A464" s="10" t="inlineStr">
        <is>
          <t>SP-0461</t>
        </is>
      </c>
      <c r="B464" s="11" t="n">
        <v>46180</v>
      </c>
      <c r="C464" s="10" t="inlineStr">
        <is>
          <t>Tháng 06/2026</t>
        </is>
      </c>
      <c r="D464" s="10" t="inlineStr">
        <is>
          <t>Quý 2</t>
        </is>
      </c>
      <c r="E464" s="5" t="inlineStr">
        <is>
          <t>Ban Kinh tế - Tài chính</t>
        </is>
      </c>
      <c r="F464" s="5" t="inlineStr">
        <is>
          <t>Nhóm Đức Thịnh</t>
        </is>
      </c>
      <c r="G464" s="5" t="inlineStr">
        <is>
          <t>Báo Điện tử (Web)</t>
        </is>
      </c>
      <c r="H464" s="5" t="inlineStr">
        <is>
          <t>Infographic / Mega Story</t>
        </is>
      </c>
      <c r="I464" s="5" t="inlineStr">
        <is>
          <t>Chính sách &amp; Pháp luật</t>
        </is>
      </c>
      <c r="J464" s="5" t="inlineStr">
        <is>
          <t>Toàn trình (70%)</t>
        </is>
      </c>
      <c r="K464" s="12" t="n">
        <v>252844</v>
      </c>
      <c r="L464" s="12" t="n">
        <v>22123</v>
      </c>
      <c r="M464" s="13">
        <f>L464/K464</f>
        <v/>
      </c>
      <c r="N464" s="12" t="n">
        <v>74</v>
      </c>
      <c r="O464" s="13" t="n">
        <v>0.4826</v>
      </c>
      <c r="P464" s="12" t="n">
        <v>2500000</v>
      </c>
      <c r="Q464" s="12" t="n">
        <v>6950000</v>
      </c>
      <c r="R464" s="12">
        <f>Q464-P464</f>
        <v/>
      </c>
      <c r="S464" s="13">
        <f>(Q464-P464)/P464</f>
        <v/>
      </c>
      <c r="T464" s="10">
        <f>IF(AND(K464&gt;=50000, S464&gt;=0.35), "Vượt KPI", IF(AND(K464&gt;=20000, S464&gt;=0), "Đạt KPI", "Chưa đạt KPI"))</f>
        <v/>
      </c>
    </row>
    <row r="465">
      <c r="A465" s="14" t="inlineStr">
        <is>
          <t>SP-0462</t>
        </is>
      </c>
      <c r="B465" s="15" t="n">
        <v>46176</v>
      </c>
      <c r="C465" s="14" t="inlineStr">
        <is>
          <t>Tháng 06/2026</t>
        </is>
      </c>
      <c r="D465" s="14" t="inlineStr">
        <is>
          <t>Quý 2</t>
        </is>
      </c>
      <c r="E465" s="16" t="inlineStr">
        <is>
          <t>Ban Đời sống - Giới trẻ</t>
        </is>
      </c>
      <c r="F465" s="16" t="inlineStr">
        <is>
          <t>Nhóm Phương Thảo</t>
        </is>
      </c>
      <c r="G465" s="16" t="inlineStr">
        <is>
          <t>YouTube</t>
        </is>
      </c>
      <c r="H465" s="16" t="inlineStr">
        <is>
          <t>YouTube Shorts</t>
        </is>
      </c>
      <c r="I465" s="16" t="inlineStr">
        <is>
          <t>Tài chính Cá nhân &amp; Đầu tư</t>
        </is>
      </c>
      <c r="J465" s="16" t="inlineStr">
        <is>
          <t>Cơ bản (15%)</t>
        </is>
      </c>
      <c r="K465" s="17" t="n">
        <v>149235</v>
      </c>
      <c r="L465" s="17" t="n">
        <v>6536</v>
      </c>
      <c r="M465" s="18">
        <f>L465/K465</f>
        <v/>
      </c>
      <c r="N465" s="17" t="n">
        <v>578</v>
      </c>
      <c r="O465" s="18" t="n">
        <v>0.3478</v>
      </c>
      <c r="P465" s="17" t="n">
        <v>9750000</v>
      </c>
      <c r="Q465" s="17" t="n">
        <v>28250000</v>
      </c>
      <c r="R465" s="17">
        <f>Q465-P465</f>
        <v/>
      </c>
      <c r="S465" s="18">
        <f>(Q465-P465)/P465</f>
        <v/>
      </c>
      <c r="T465" s="14">
        <f>IF(AND(K465&gt;=50000, S465&gt;=0.35), "Vượt KPI", IF(AND(K465&gt;=20000, S465&gt;=0), "Đạt KPI", "Chưa đạt KPI"))</f>
        <v/>
      </c>
    </row>
    <row r="466">
      <c r="A466" s="10" t="inlineStr">
        <is>
          <t>SP-0463</t>
        </is>
      </c>
      <c r="B466" s="11" t="n">
        <v>46166</v>
      </c>
      <c r="C466" s="10" t="inlineStr">
        <is>
          <t>Tháng 05/2026</t>
        </is>
      </c>
      <c r="D466" s="10" t="inlineStr">
        <is>
          <t>Quý 2</t>
        </is>
      </c>
      <c r="E466" s="5" t="inlineStr">
        <is>
          <t>Ban Phóng sự - Điều tra</t>
        </is>
      </c>
      <c r="F466" s="5" t="inlineStr">
        <is>
          <t>Nhóm Trọng Nghĩa</t>
        </is>
      </c>
      <c r="G466" s="5" t="inlineStr">
        <is>
          <t>YouTube</t>
        </is>
      </c>
      <c r="H466" s="5" t="inlineStr">
        <is>
          <t>YouTube Shorts</t>
        </is>
      </c>
      <c r="I466" s="5" t="inlineStr">
        <is>
          <t>Chính sách &amp; Pháp luật</t>
        </is>
      </c>
      <c r="J466" s="5" t="inlineStr">
        <is>
          <t>Hỗ trợ sâu (40%)</t>
        </is>
      </c>
      <c r="K466" s="12" t="n">
        <v>738740</v>
      </c>
      <c r="L466" s="12" t="n">
        <v>44989</v>
      </c>
      <c r="M466" s="13">
        <f>L466/K466</f>
        <v/>
      </c>
      <c r="N466" s="12" t="n">
        <v>382</v>
      </c>
      <c r="O466" s="13" t="n">
        <v>0.3896</v>
      </c>
      <c r="P466" s="12" t="n">
        <v>9050000</v>
      </c>
      <c r="Q466" s="12" t="n">
        <v>40250000</v>
      </c>
      <c r="R466" s="12">
        <f>Q466-P466</f>
        <v/>
      </c>
      <c r="S466" s="13">
        <f>(Q466-P466)/P466</f>
        <v/>
      </c>
      <c r="T466" s="10">
        <f>IF(AND(K466&gt;=50000, S466&gt;=0.35), "Vượt KPI", IF(AND(K466&gt;=20000, S466&gt;=0), "Đạt KPI", "Chưa đạt KPI"))</f>
        <v/>
      </c>
    </row>
    <row r="467">
      <c r="A467" s="14" t="inlineStr">
        <is>
          <t>SP-0464</t>
        </is>
      </c>
      <c r="B467" s="15" t="n">
        <v>46120</v>
      </c>
      <c r="C467" s="14" t="inlineStr">
        <is>
          <t>Tháng 04/2026</t>
        </is>
      </c>
      <c r="D467" s="14" t="inlineStr">
        <is>
          <t>Quý 2</t>
        </is>
      </c>
      <c r="E467" s="16" t="inlineStr">
        <is>
          <t>Ban Đời sống - Giới trẻ</t>
        </is>
      </c>
      <c r="F467" s="16" t="inlineStr">
        <is>
          <t>Nhóm Duy Khánh</t>
        </is>
      </c>
      <c r="G467" s="16" t="inlineStr">
        <is>
          <t>YouTube</t>
        </is>
      </c>
      <c r="H467" s="16" t="inlineStr">
        <is>
          <t>YouTube Long-form (10-25p)</t>
        </is>
      </c>
      <c r="I467" s="16" t="inlineStr">
        <is>
          <t>Công nghệ &amp; AI</t>
        </is>
      </c>
      <c r="J467" s="16" t="inlineStr">
        <is>
          <t>Cơ bản (15%)</t>
        </is>
      </c>
      <c r="K467" s="17" t="n">
        <v>276174</v>
      </c>
      <c r="L467" s="17" t="n">
        <v>21375</v>
      </c>
      <c r="M467" s="18">
        <f>L467/K467</f>
        <v/>
      </c>
      <c r="N467" s="17" t="n">
        <v>434</v>
      </c>
      <c r="O467" s="18" t="n">
        <v>0.3305</v>
      </c>
      <c r="P467" s="17" t="n">
        <v>14800000</v>
      </c>
      <c r="Q467" s="17" t="n">
        <v>65450000</v>
      </c>
      <c r="R467" s="17">
        <f>Q467-P467</f>
        <v/>
      </c>
      <c r="S467" s="18">
        <f>(Q467-P467)/P467</f>
        <v/>
      </c>
      <c r="T467" s="14">
        <f>IF(AND(K467&gt;=50000, S467&gt;=0.35), "Vượt KPI", IF(AND(K467&gt;=20000, S467&gt;=0), "Đạt KPI", "Chưa đạt KPI"))</f>
        <v/>
      </c>
    </row>
    <row r="468">
      <c r="A468" s="10" t="inlineStr">
        <is>
          <t>SP-0465</t>
        </is>
      </c>
      <c r="B468" s="11" t="n">
        <v>46102</v>
      </c>
      <c r="C468" s="10" t="inlineStr">
        <is>
          <t>Tháng 03/2026</t>
        </is>
      </c>
      <c r="D468" s="10" t="inlineStr">
        <is>
          <t>Quý 1</t>
        </is>
      </c>
      <c r="E468" s="5" t="inlineStr">
        <is>
          <t>Ban Công nghệ &amp; AI</t>
        </is>
      </c>
      <c r="F468" s="5" t="inlineStr">
        <is>
          <t>Nhóm Ngọc Ánh</t>
        </is>
      </c>
      <c r="G468" s="5" t="inlineStr">
        <is>
          <t>YouTube</t>
        </is>
      </c>
      <c r="H468" s="5" t="inlineStr">
        <is>
          <t>YouTube Long-form (10-25p)</t>
        </is>
      </c>
      <c r="I468" s="5" t="inlineStr">
        <is>
          <t>Giáo dục &amp; Tuyển sinh</t>
        </is>
      </c>
      <c r="J468" s="5" t="inlineStr">
        <is>
          <t>Cơ bản (15%)</t>
        </is>
      </c>
      <c r="K468" s="12" t="n">
        <v>470077</v>
      </c>
      <c r="L468" s="12" t="n">
        <v>33704</v>
      </c>
      <c r="M468" s="13">
        <f>L468/K468</f>
        <v/>
      </c>
      <c r="N468" s="12" t="n">
        <v>191</v>
      </c>
      <c r="O468" s="13" t="n">
        <v>0.5112</v>
      </c>
      <c r="P468" s="12" t="n">
        <v>11700000</v>
      </c>
      <c r="Q468" s="12" t="n">
        <v>55900000</v>
      </c>
      <c r="R468" s="12">
        <f>Q468-P468</f>
        <v/>
      </c>
      <c r="S468" s="13">
        <f>(Q468-P468)/P468</f>
        <v/>
      </c>
      <c r="T468" s="10">
        <f>IF(AND(K468&gt;=50000, S468&gt;=0.35), "Vượt KPI", IF(AND(K468&gt;=20000, S468&gt;=0), "Đạt KPI", "Chưa đạt KPI"))</f>
        <v/>
      </c>
    </row>
    <row r="469">
      <c r="A469" s="14" t="inlineStr">
        <is>
          <t>SP-0466</t>
        </is>
      </c>
      <c r="B469" s="15" t="n">
        <v>46157</v>
      </c>
      <c r="C469" s="14" t="inlineStr">
        <is>
          <t>Tháng 05/2026</t>
        </is>
      </c>
      <c r="D469" s="14" t="inlineStr">
        <is>
          <t>Quý 2</t>
        </is>
      </c>
      <c r="E469" s="16" t="inlineStr">
        <is>
          <t>Ban Video &amp; Truyền hình số</t>
        </is>
      </c>
      <c r="F469" s="16" t="inlineStr">
        <is>
          <t>Nhóm Hoàng Hải</t>
        </is>
      </c>
      <c r="G469" s="16" t="inlineStr">
        <is>
          <t>YouTube</t>
        </is>
      </c>
      <c r="H469" s="16" t="inlineStr">
        <is>
          <t>YouTube Documentary (&gt;25p)</t>
        </is>
      </c>
      <c r="I469" s="16" t="inlineStr">
        <is>
          <t>Phóng sự Điều tra</t>
        </is>
      </c>
      <c r="J469" s="16" t="inlineStr">
        <is>
          <t>Cơ bản (15%)</t>
        </is>
      </c>
      <c r="K469" s="17" t="n">
        <v>88740</v>
      </c>
      <c r="L469" s="17" t="n">
        <v>4188</v>
      </c>
      <c r="M469" s="18">
        <f>L469/K469</f>
        <v/>
      </c>
      <c r="N469" s="17" t="n">
        <v>460</v>
      </c>
      <c r="O469" s="18" t="n">
        <v>0.5095</v>
      </c>
      <c r="P469" s="17" t="n">
        <v>9450000</v>
      </c>
      <c r="Q469" s="17" t="n">
        <v>21200000</v>
      </c>
      <c r="R469" s="17">
        <f>Q469-P469</f>
        <v/>
      </c>
      <c r="S469" s="18">
        <f>(Q469-P469)/P469</f>
        <v/>
      </c>
      <c r="T469" s="14">
        <f>IF(AND(K469&gt;=50000, S469&gt;=0.35), "Vượt KPI", IF(AND(K469&gt;=20000, S469&gt;=0), "Đạt KPI", "Chưa đạt KPI"))</f>
        <v/>
      </c>
    </row>
    <row r="470">
      <c r="A470" s="10" t="inlineStr">
        <is>
          <t>SP-0467</t>
        </is>
      </c>
      <c r="B470" s="11" t="n">
        <v>46144</v>
      </c>
      <c r="C470" s="10" t="inlineStr">
        <is>
          <t>Tháng 05/2026</t>
        </is>
      </c>
      <c r="D470" s="10" t="inlineStr">
        <is>
          <t>Quý 2</t>
        </is>
      </c>
      <c r="E470" s="5" t="inlineStr">
        <is>
          <t>Ban Video &amp; Truyền hình số</t>
        </is>
      </c>
      <c r="F470" s="5" t="inlineStr">
        <is>
          <t>Nhóm Quốc Bảo</t>
        </is>
      </c>
      <c r="G470" s="5" t="inlineStr">
        <is>
          <t>Báo Điện tử (Web)</t>
        </is>
      </c>
      <c r="H470" s="5" t="inlineStr">
        <is>
          <t>Longform / E-magazine</t>
        </is>
      </c>
      <c r="I470" s="5" t="inlineStr">
        <is>
          <t>Giáo dục &amp; Tuyển sinh</t>
        </is>
      </c>
      <c r="J470" s="5" t="inlineStr">
        <is>
          <t>Thủ công (0%)</t>
        </is>
      </c>
      <c r="K470" s="12" t="n">
        <v>315016</v>
      </c>
      <c r="L470" s="12" t="n">
        <v>16223</v>
      </c>
      <c r="M470" s="13">
        <f>L470/K470</f>
        <v/>
      </c>
      <c r="N470" s="12" t="n">
        <v>297</v>
      </c>
      <c r="O470" s="13" t="n">
        <v>0.5069</v>
      </c>
      <c r="P470" s="12" t="n">
        <v>1700000</v>
      </c>
      <c r="Q470" s="12" t="n">
        <v>2100000</v>
      </c>
      <c r="R470" s="12">
        <f>Q470-P470</f>
        <v/>
      </c>
      <c r="S470" s="13">
        <f>(Q470-P470)/P470</f>
        <v/>
      </c>
      <c r="T470" s="10">
        <f>IF(AND(K470&gt;=50000, S470&gt;=0.35), "Vượt KPI", IF(AND(K470&gt;=20000, S470&gt;=0), "Đạt KPI", "Chưa đạt KPI"))</f>
        <v/>
      </c>
    </row>
    <row r="471">
      <c r="A471" s="14" t="inlineStr">
        <is>
          <t>SP-0468</t>
        </is>
      </c>
      <c r="B471" s="15" t="n">
        <v>46140</v>
      </c>
      <c r="C471" s="14" t="inlineStr">
        <is>
          <t>Tháng 04/2026</t>
        </is>
      </c>
      <c r="D471" s="14" t="inlineStr">
        <is>
          <t>Quý 2</t>
        </is>
      </c>
      <c r="E471" s="16" t="inlineStr">
        <is>
          <t>Ban Kinh tế - Tài chính</t>
        </is>
      </c>
      <c r="F471" s="16" t="inlineStr">
        <is>
          <t>Nhóm Đức Thịnh</t>
        </is>
      </c>
      <c r="G471" s="16" t="inlineStr">
        <is>
          <t>Báo Điện tử (Web)</t>
        </is>
      </c>
      <c r="H471" s="16" t="inlineStr">
        <is>
          <t>Longform / E-magazine</t>
        </is>
      </c>
      <c r="I471" s="16" t="inlineStr">
        <is>
          <t>Kinh tế - Thị trường</t>
        </is>
      </c>
      <c r="J471" s="16" t="inlineStr">
        <is>
          <t>Hỗ trợ sâu (40%)</t>
        </is>
      </c>
      <c r="K471" s="17" t="n">
        <v>245482</v>
      </c>
      <c r="L471" s="17" t="n">
        <v>5817</v>
      </c>
      <c r="M471" s="18">
        <f>L471/K471</f>
        <v/>
      </c>
      <c r="N471" s="17" t="n">
        <v>211</v>
      </c>
      <c r="O471" s="18" t="n">
        <v>0.7355</v>
      </c>
      <c r="P471" s="17" t="n">
        <v>2800000</v>
      </c>
      <c r="Q471" s="17" t="n">
        <v>4650000</v>
      </c>
      <c r="R471" s="17">
        <f>Q471-P471</f>
        <v/>
      </c>
      <c r="S471" s="18">
        <f>(Q471-P471)/P471</f>
        <v/>
      </c>
      <c r="T471" s="14">
        <f>IF(AND(K471&gt;=50000, S471&gt;=0.35), "Vượt KPI", IF(AND(K471&gt;=20000, S471&gt;=0), "Đạt KPI", "Chưa đạt KPI"))</f>
        <v/>
      </c>
    </row>
    <row r="472">
      <c r="A472" s="10" t="inlineStr">
        <is>
          <t>SP-0469</t>
        </is>
      </c>
      <c r="B472" s="11" t="n">
        <v>46174</v>
      </c>
      <c r="C472" s="10" t="inlineStr">
        <is>
          <t>Tháng 06/2026</t>
        </is>
      </c>
      <c r="D472" s="10" t="inlineStr">
        <is>
          <t>Quý 2</t>
        </is>
      </c>
      <c r="E472" s="5" t="inlineStr">
        <is>
          <t>Ban Kinh tế - Tài chính</t>
        </is>
      </c>
      <c r="F472" s="5" t="inlineStr">
        <is>
          <t>Nhóm Lan Hương</t>
        </is>
      </c>
      <c r="G472" s="5" t="inlineStr">
        <is>
          <t>YouTube</t>
        </is>
      </c>
      <c r="H472" s="5" t="inlineStr">
        <is>
          <t>YouTube Long-form (10-25p)</t>
        </is>
      </c>
      <c r="I472" s="5" t="inlineStr">
        <is>
          <t>Chính sách &amp; Pháp luật</t>
        </is>
      </c>
      <c r="J472" s="5" t="inlineStr">
        <is>
          <t>Toàn trình (70%)</t>
        </is>
      </c>
      <c r="K472" s="12" t="n">
        <v>40502</v>
      </c>
      <c r="L472" s="12" t="n">
        <v>1389</v>
      </c>
      <c r="M472" s="13">
        <f>L472/K472</f>
        <v/>
      </c>
      <c r="N472" s="12" t="n">
        <v>159</v>
      </c>
      <c r="O472" s="13" t="n">
        <v>0.4329</v>
      </c>
      <c r="P472" s="12" t="n">
        <v>1750000</v>
      </c>
      <c r="Q472" s="12" t="n">
        <v>1100000</v>
      </c>
      <c r="R472" s="12">
        <f>Q472-P472</f>
        <v/>
      </c>
      <c r="S472" s="13">
        <f>(Q472-P472)/P472</f>
        <v/>
      </c>
      <c r="T472" s="10">
        <f>IF(AND(K472&gt;=50000, S472&gt;=0.35), "Vượt KPI", IF(AND(K472&gt;=20000, S472&gt;=0), "Đạt KPI", "Chưa đạt KPI"))</f>
        <v/>
      </c>
    </row>
    <row r="473">
      <c r="A473" s="14" t="inlineStr">
        <is>
          <t>SP-0470</t>
        </is>
      </c>
      <c r="B473" s="15" t="n">
        <v>46200</v>
      </c>
      <c r="C473" s="14" t="inlineStr">
        <is>
          <t>Tháng 06/2026</t>
        </is>
      </c>
      <c r="D473" s="14" t="inlineStr">
        <is>
          <t>Quý 2</t>
        </is>
      </c>
      <c r="E473" s="16" t="inlineStr">
        <is>
          <t>Ban Công nghệ &amp; AI</t>
        </is>
      </c>
      <c r="F473" s="16" t="inlineStr">
        <is>
          <t>Nhóm Tuấn Kiệt</t>
        </is>
      </c>
      <c r="G473" s="16" t="inlineStr">
        <is>
          <t>Báo Điện tử (Web)</t>
        </is>
      </c>
      <c r="H473" s="16" t="inlineStr">
        <is>
          <t>Longform / E-magazine</t>
        </is>
      </c>
      <c r="I473" s="16" t="inlineStr">
        <is>
          <t>Kinh tế - Thị trường</t>
        </is>
      </c>
      <c r="J473" s="16" t="inlineStr">
        <is>
          <t>Toàn trình (70%)</t>
        </is>
      </c>
      <c r="K473" s="17" t="n">
        <v>697989</v>
      </c>
      <c r="L473" s="17" t="n">
        <v>55280</v>
      </c>
      <c r="M473" s="18">
        <f>L473/K473</f>
        <v/>
      </c>
      <c r="N473" s="17" t="n">
        <v>301</v>
      </c>
      <c r="O473" s="18" t="n">
        <v>0.7418</v>
      </c>
      <c r="P473" s="17" t="n">
        <v>3500000</v>
      </c>
      <c r="Q473" s="17" t="n">
        <v>15200000</v>
      </c>
      <c r="R473" s="17">
        <f>Q473-P473</f>
        <v/>
      </c>
      <c r="S473" s="18">
        <f>(Q473-P473)/P473</f>
        <v/>
      </c>
      <c r="T473" s="14">
        <f>IF(AND(K473&gt;=50000, S473&gt;=0.35), "Vượt KPI", IF(AND(K473&gt;=20000, S473&gt;=0), "Đạt KPI", "Chưa đạt KPI"))</f>
        <v/>
      </c>
    </row>
    <row r="474">
      <c r="A474" s="10" t="inlineStr">
        <is>
          <t>SP-0471</t>
        </is>
      </c>
      <c r="B474" s="11" t="n">
        <v>46103</v>
      </c>
      <c r="C474" s="10" t="inlineStr">
        <is>
          <t>Tháng 03/2026</t>
        </is>
      </c>
      <c r="D474" s="10" t="inlineStr">
        <is>
          <t>Quý 1</t>
        </is>
      </c>
      <c r="E474" s="5" t="inlineStr">
        <is>
          <t>Ban Kinh tế - Tài chính</t>
        </is>
      </c>
      <c r="F474" s="5" t="inlineStr">
        <is>
          <t>Nhóm Lan Hương</t>
        </is>
      </c>
      <c r="G474" s="5" t="inlineStr">
        <is>
          <t>YouTube</t>
        </is>
      </c>
      <c r="H474" s="5" t="inlineStr">
        <is>
          <t>YouTube Documentary (&gt;25p)</t>
        </is>
      </c>
      <c r="I474" s="5" t="inlineStr">
        <is>
          <t>Chính sách &amp; Pháp luật</t>
        </is>
      </c>
      <c r="J474" s="5" t="inlineStr">
        <is>
          <t>Thủ công (0%)</t>
        </is>
      </c>
      <c r="K474" s="12" t="n">
        <v>590779</v>
      </c>
      <c r="L474" s="12" t="n">
        <v>41413</v>
      </c>
      <c r="M474" s="13">
        <f>L474/K474</f>
        <v/>
      </c>
      <c r="N474" s="12" t="n">
        <v>548</v>
      </c>
      <c r="O474" s="13" t="n">
        <v>0.4268</v>
      </c>
      <c r="P474" s="12" t="n">
        <v>10100000</v>
      </c>
      <c r="Q474" s="12" t="n">
        <v>19900000</v>
      </c>
      <c r="R474" s="12">
        <f>Q474-P474</f>
        <v/>
      </c>
      <c r="S474" s="13">
        <f>(Q474-P474)/P474</f>
        <v/>
      </c>
      <c r="T474" s="10">
        <f>IF(AND(K474&gt;=50000, S474&gt;=0.35), "Vượt KPI", IF(AND(K474&gt;=20000, S474&gt;=0), "Đạt KPI", "Chưa đạt KPI"))</f>
        <v/>
      </c>
    </row>
    <row r="475">
      <c r="A475" s="14" t="inlineStr">
        <is>
          <t>SP-0472</t>
        </is>
      </c>
      <c r="B475" s="15" t="n">
        <v>46149</v>
      </c>
      <c r="C475" s="14" t="inlineStr">
        <is>
          <t>Tháng 05/2026</t>
        </is>
      </c>
      <c r="D475" s="14" t="inlineStr">
        <is>
          <t>Quý 2</t>
        </is>
      </c>
      <c r="E475" s="16" t="inlineStr">
        <is>
          <t>Ban Kinh tế - Tài chính</t>
        </is>
      </c>
      <c r="F475" s="16" t="inlineStr">
        <is>
          <t>Nhóm Đức Thịnh</t>
        </is>
      </c>
      <c r="G475" s="16" t="inlineStr">
        <is>
          <t>Facebook Page</t>
        </is>
      </c>
      <c r="H475" s="16" t="inlineStr">
        <is>
          <t>Facebook Reels</t>
        </is>
      </c>
      <c r="I475" s="16" t="inlineStr">
        <is>
          <t>Chính sách &amp; Pháp luật</t>
        </is>
      </c>
      <c r="J475" s="16" t="inlineStr">
        <is>
          <t>Cơ bản (15%)</t>
        </is>
      </c>
      <c r="K475" s="17" t="n">
        <v>376978</v>
      </c>
      <c r="L475" s="17" t="n">
        <v>21827</v>
      </c>
      <c r="M475" s="18">
        <f>L475/K475</f>
        <v/>
      </c>
      <c r="N475" s="17" t="n">
        <v>165</v>
      </c>
      <c r="O475" s="18" t="n">
        <v>0.5386</v>
      </c>
      <c r="P475" s="17" t="n">
        <v>1200000</v>
      </c>
      <c r="Q475" s="17" t="n">
        <v>1300000</v>
      </c>
      <c r="R475" s="17">
        <f>Q475-P475</f>
        <v/>
      </c>
      <c r="S475" s="18">
        <f>(Q475-P475)/P475</f>
        <v/>
      </c>
      <c r="T475" s="14">
        <f>IF(AND(K475&gt;=50000, S475&gt;=0.35), "Vượt KPI", IF(AND(K475&gt;=20000, S475&gt;=0), "Đạt KPI", "Chưa đạt KPI"))</f>
        <v/>
      </c>
    </row>
    <row r="476">
      <c r="A476" s="10" t="inlineStr">
        <is>
          <t>SP-0473</t>
        </is>
      </c>
      <c r="B476" s="11" t="n">
        <v>46129</v>
      </c>
      <c r="C476" s="10" t="inlineStr">
        <is>
          <t>Tháng 04/2026</t>
        </is>
      </c>
      <c r="D476" s="10" t="inlineStr">
        <is>
          <t>Quý 2</t>
        </is>
      </c>
      <c r="E476" s="5" t="inlineStr">
        <is>
          <t>Ban Đời sống - Giới trẻ</t>
        </is>
      </c>
      <c r="F476" s="5" t="inlineStr">
        <is>
          <t>Nhóm Phương Thảo</t>
        </is>
      </c>
      <c r="G476" s="5" t="inlineStr">
        <is>
          <t>Facebook Page</t>
        </is>
      </c>
      <c r="H476" s="5" t="inlineStr">
        <is>
          <t>Facebook Reels</t>
        </is>
      </c>
      <c r="I476" s="5" t="inlineStr">
        <is>
          <t>Đời sống - Xã hội</t>
        </is>
      </c>
      <c r="J476" s="5" t="inlineStr">
        <is>
          <t>Hỗ trợ sâu (40%)</t>
        </is>
      </c>
      <c r="K476" s="12" t="n">
        <v>85037</v>
      </c>
      <c r="L476" s="12" t="n">
        <v>1981</v>
      </c>
      <c r="M476" s="13">
        <f>L476/K476</f>
        <v/>
      </c>
      <c r="N476" s="12" t="n">
        <v>66</v>
      </c>
      <c r="O476" s="13" t="n">
        <v>0.6998</v>
      </c>
      <c r="P476" s="12" t="n">
        <v>3250000</v>
      </c>
      <c r="Q476" s="12" t="n">
        <v>8000000</v>
      </c>
      <c r="R476" s="12">
        <f>Q476-P476</f>
        <v/>
      </c>
      <c r="S476" s="13">
        <f>(Q476-P476)/P476</f>
        <v/>
      </c>
      <c r="T476" s="10">
        <f>IF(AND(K476&gt;=50000, S476&gt;=0.35), "Vượt KPI", IF(AND(K476&gt;=20000, S476&gt;=0), "Đạt KPI", "Chưa đạt KPI"))</f>
        <v/>
      </c>
    </row>
    <row r="477">
      <c r="A477" s="14" t="inlineStr">
        <is>
          <t>SP-0474</t>
        </is>
      </c>
      <c r="B477" s="15" t="n">
        <v>46066</v>
      </c>
      <c r="C477" s="14" t="inlineStr">
        <is>
          <t>Tháng 02/2026</t>
        </is>
      </c>
      <c r="D477" s="14" t="inlineStr">
        <is>
          <t>Quý 1</t>
        </is>
      </c>
      <c r="E477" s="16" t="inlineStr">
        <is>
          <t>Ban Kinh tế - Tài chính</t>
        </is>
      </c>
      <c r="F477" s="16" t="inlineStr">
        <is>
          <t>Nhóm Lan Hương</t>
        </is>
      </c>
      <c r="G477" s="16" t="inlineStr">
        <is>
          <t>Facebook Page</t>
        </is>
      </c>
      <c r="H477" s="16" t="inlineStr">
        <is>
          <t>Facebook Reels</t>
        </is>
      </c>
      <c r="I477" s="16" t="inlineStr">
        <is>
          <t>Kinh tế - Thị trường</t>
        </is>
      </c>
      <c r="J477" s="16" t="inlineStr">
        <is>
          <t>Hỗ trợ sâu (40%)</t>
        </is>
      </c>
      <c r="K477" s="17" t="n">
        <v>158141</v>
      </c>
      <c r="L477" s="17" t="n">
        <v>10468</v>
      </c>
      <c r="M477" s="18">
        <f>L477/K477</f>
        <v/>
      </c>
      <c r="N477" s="17" t="n">
        <v>156</v>
      </c>
      <c r="O477" s="18" t="n">
        <v>0.5024</v>
      </c>
      <c r="P477" s="17" t="n">
        <v>2200000</v>
      </c>
      <c r="Q477" s="17" t="n">
        <v>5750000</v>
      </c>
      <c r="R477" s="17">
        <f>Q477-P477</f>
        <v/>
      </c>
      <c r="S477" s="18">
        <f>(Q477-P477)/P477</f>
        <v/>
      </c>
      <c r="T477" s="14">
        <f>IF(AND(K477&gt;=50000, S477&gt;=0.35), "Vượt KPI", IF(AND(K477&gt;=20000, S477&gt;=0), "Đạt KPI", "Chưa đạt KPI"))</f>
        <v/>
      </c>
    </row>
    <row r="478">
      <c r="A478" s="10" t="inlineStr">
        <is>
          <t>SP-0475</t>
        </is>
      </c>
      <c r="B478" s="11" t="n">
        <v>46169</v>
      </c>
      <c r="C478" s="10" t="inlineStr">
        <is>
          <t>Tháng 05/2026</t>
        </is>
      </c>
      <c r="D478" s="10" t="inlineStr">
        <is>
          <t>Quý 2</t>
        </is>
      </c>
      <c r="E478" s="5" t="inlineStr">
        <is>
          <t>Ban Video &amp; Truyền hình số</t>
        </is>
      </c>
      <c r="F478" s="5" t="inlineStr">
        <is>
          <t>Nhóm Thu Trang</t>
        </is>
      </c>
      <c r="G478" s="5" t="inlineStr">
        <is>
          <t>Báo Điện tử (Web)</t>
        </is>
      </c>
      <c r="H478" s="5" t="inlineStr">
        <is>
          <t>Longform / E-magazine</t>
        </is>
      </c>
      <c r="I478" s="5" t="inlineStr">
        <is>
          <t>Công nghệ &amp; AI</t>
        </is>
      </c>
      <c r="J478" s="5" t="inlineStr">
        <is>
          <t>Cơ bản (15%)</t>
        </is>
      </c>
      <c r="K478" s="12" t="n">
        <v>21867</v>
      </c>
      <c r="L478" s="12" t="n">
        <v>1406</v>
      </c>
      <c r="M478" s="13">
        <f>L478/K478</f>
        <v/>
      </c>
      <c r="N478" s="12" t="n">
        <v>300</v>
      </c>
      <c r="O478" s="13" t="n">
        <v>0.4399</v>
      </c>
      <c r="P478" s="12" t="n">
        <v>5350000</v>
      </c>
      <c r="Q478" s="12" t="n">
        <v>10000000</v>
      </c>
      <c r="R478" s="12">
        <f>Q478-P478</f>
        <v/>
      </c>
      <c r="S478" s="13">
        <f>(Q478-P478)/P478</f>
        <v/>
      </c>
      <c r="T478" s="10">
        <f>IF(AND(K478&gt;=50000, S478&gt;=0.35), "Vượt KPI", IF(AND(K478&gt;=20000, S478&gt;=0), "Đạt KPI", "Chưa đạt KPI"))</f>
        <v/>
      </c>
    </row>
    <row r="479">
      <c r="A479" s="14" t="inlineStr">
        <is>
          <t>SP-0476</t>
        </is>
      </c>
      <c r="B479" s="15" t="n">
        <v>46158</v>
      </c>
      <c r="C479" s="14" t="inlineStr">
        <is>
          <t>Tháng 05/2026</t>
        </is>
      </c>
      <c r="D479" s="14" t="inlineStr">
        <is>
          <t>Quý 2</t>
        </is>
      </c>
      <c r="E479" s="16" t="inlineStr">
        <is>
          <t>Ban Công nghệ &amp; AI</t>
        </is>
      </c>
      <c r="F479" s="16" t="inlineStr">
        <is>
          <t>Nhóm Gia Hưng</t>
        </is>
      </c>
      <c r="G479" s="16" t="inlineStr">
        <is>
          <t>YouTube</t>
        </is>
      </c>
      <c r="H479" s="16" t="inlineStr">
        <is>
          <t>YouTube Long-form (10-25p)</t>
        </is>
      </c>
      <c r="I479" s="16" t="inlineStr">
        <is>
          <t>Công nghệ &amp; AI</t>
        </is>
      </c>
      <c r="J479" s="16" t="inlineStr">
        <is>
          <t>Hỗ trợ sâu (40%)</t>
        </is>
      </c>
      <c r="K479" s="17" t="n">
        <v>587294</v>
      </c>
      <c r="L479" s="17" t="n">
        <v>46631</v>
      </c>
      <c r="M479" s="18">
        <f>L479/K479</f>
        <v/>
      </c>
      <c r="N479" s="17" t="n">
        <v>317</v>
      </c>
      <c r="O479" s="18" t="n">
        <v>0.4076</v>
      </c>
      <c r="P479" s="17" t="n">
        <v>6800000</v>
      </c>
      <c r="Q479" s="17" t="n">
        <v>24400000</v>
      </c>
      <c r="R479" s="17">
        <f>Q479-P479</f>
        <v/>
      </c>
      <c r="S479" s="18">
        <f>(Q479-P479)/P479</f>
        <v/>
      </c>
      <c r="T479" s="14">
        <f>IF(AND(K479&gt;=50000, S479&gt;=0.35), "Vượt KPI", IF(AND(K479&gt;=20000, S479&gt;=0), "Đạt KPI", "Chưa đạt KPI"))</f>
        <v/>
      </c>
    </row>
    <row r="480">
      <c r="A480" s="10" t="inlineStr">
        <is>
          <t>SP-0477</t>
        </is>
      </c>
      <c r="B480" s="11" t="n">
        <v>46095</v>
      </c>
      <c r="C480" s="10" t="inlineStr">
        <is>
          <t>Tháng 03/2026</t>
        </is>
      </c>
      <c r="D480" s="10" t="inlineStr">
        <is>
          <t>Quý 1</t>
        </is>
      </c>
      <c r="E480" s="5" t="inlineStr">
        <is>
          <t>Ban Kinh tế - Tài chính</t>
        </is>
      </c>
      <c r="F480" s="5" t="inlineStr">
        <is>
          <t>Nhóm Minh Tuấn</t>
        </is>
      </c>
      <c r="G480" s="5" t="inlineStr">
        <is>
          <t>YouTube</t>
        </is>
      </c>
      <c r="H480" s="5" t="inlineStr">
        <is>
          <t>YouTube Documentary (&gt;25p)</t>
        </is>
      </c>
      <c r="I480" s="5" t="inlineStr">
        <is>
          <t>Kinh tế - Thị trường</t>
        </is>
      </c>
      <c r="J480" s="5" t="inlineStr">
        <is>
          <t>Thủ công (0%)</t>
        </is>
      </c>
      <c r="K480" s="12" t="n">
        <v>1146702</v>
      </c>
      <c r="L480" s="12" t="n">
        <v>104120</v>
      </c>
      <c r="M480" s="13">
        <f>L480/K480</f>
        <v/>
      </c>
      <c r="N480" s="12" t="n">
        <v>59</v>
      </c>
      <c r="O480" s="13" t="n">
        <v>0.5306</v>
      </c>
      <c r="P480" s="12" t="n">
        <v>11150000</v>
      </c>
      <c r="Q480" s="12" t="n">
        <v>40700000</v>
      </c>
      <c r="R480" s="12">
        <f>Q480-P480</f>
        <v/>
      </c>
      <c r="S480" s="13">
        <f>(Q480-P480)/P480</f>
        <v/>
      </c>
      <c r="T480" s="10">
        <f>IF(AND(K480&gt;=50000, S480&gt;=0.35), "Vượt KPI", IF(AND(K480&gt;=20000, S480&gt;=0), "Đạt KPI", "Chưa đạt KPI"))</f>
        <v/>
      </c>
    </row>
    <row r="481">
      <c r="A481" s="14" t="inlineStr">
        <is>
          <t>SP-0478</t>
        </is>
      </c>
      <c r="B481" s="15" t="n">
        <v>46045</v>
      </c>
      <c r="C481" s="14" t="inlineStr">
        <is>
          <t>Tháng 01/2026</t>
        </is>
      </c>
      <c r="D481" s="14" t="inlineStr">
        <is>
          <t>Quý 1</t>
        </is>
      </c>
      <c r="E481" s="16" t="inlineStr">
        <is>
          <t>Ban Phóng sự - Điều tra</t>
        </is>
      </c>
      <c r="F481" s="16" t="inlineStr">
        <is>
          <t>Nhóm Khánh Linh</t>
        </is>
      </c>
      <c r="G481" s="16" t="inlineStr">
        <is>
          <t>YouTube</t>
        </is>
      </c>
      <c r="H481" s="16" t="inlineStr">
        <is>
          <t>YouTube Documentary (&gt;25p)</t>
        </is>
      </c>
      <c r="I481" s="16" t="inlineStr">
        <is>
          <t>Chính sách &amp; Pháp luật</t>
        </is>
      </c>
      <c r="J481" s="16" t="inlineStr">
        <is>
          <t>Toàn trình (70%)</t>
        </is>
      </c>
      <c r="K481" s="17" t="n">
        <v>232465</v>
      </c>
      <c r="L481" s="17" t="n">
        <v>5323</v>
      </c>
      <c r="M481" s="18">
        <f>L481/K481</f>
        <v/>
      </c>
      <c r="N481" s="17" t="n">
        <v>660</v>
      </c>
      <c r="O481" s="18" t="n">
        <v>0.4532</v>
      </c>
      <c r="P481" s="17" t="n">
        <v>10600000</v>
      </c>
      <c r="Q481" s="17" t="n">
        <v>31500000</v>
      </c>
      <c r="R481" s="17">
        <f>Q481-P481</f>
        <v/>
      </c>
      <c r="S481" s="18">
        <f>(Q481-P481)/P481</f>
        <v/>
      </c>
      <c r="T481" s="14">
        <f>IF(AND(K481&gt;=50000, S481&gt;=0.35), "Vượt KPI", IF(AND(K481&gt;=20000, S481&gt;=0), "Đạt KPI", "Chưa đạt KPI"))</f>
        <v/>
      </c>
    </row>
    <row r="482">
      <c r="A482" s="10" t="inlineStr">
        <is>
          <t>SP-0479</t>
        </is>
      </c>
      <c r="B482" s="11" t="n">
        <v>46153</v>
      </c>
      <c r="C482" s="10" t="inlineStr">
        <is>
          <t>Tháng 05/2026</t>
        </is>
      </c>
      <c r="D482" s="10" t="inlineStr">
        <is>
          <t>Quý 2</t>
        </is>
      </c>
      <c r="E482" s="5" t="inlineStr">
        <is>
          <t>Ban Phóng sự - Điều tra</t>
        </is>
      </c>
      <c r="F482" s="5" t="inlineStr">
        <is>
          <t>Nhóm Trọng Nghĩa</t>
        </is>
      </c>
      <c r="G482" s="5" t="inlineStr">
        <is>
          <t>Facebook Page</t>
        </is>
      </c>
      <c r="H482" s="5" t="inlineStr">
        <is>
          <t>Photo Story / Carousel</t>
        </is>
      </c>
      <c r="I482" s="5" t="inlineStr">
        <is>
          <t>Chính sách &amp; Pháp luật</t>
        </is>
      </c>
      <c r="J482" s="5" t="inlineStr">
        <is>
          <t>Toàn trình (70%)</t>
        </is>
      </c>
      <c r="K482" s="12" t="n">
        <v>306720</v>
      </c>
      <c r="L482" s="12" t="n">
        <v>8680</v>
      </c>
      <c r="M482" s="13">
        <f>L482/K482</f>
        <v/>
      </c>
      <c r="N482" s="12" t="n">
        <v>162</v>
      </c>
      <c r="O482" s="13" t="n">
        <v>0.6034</v>
      </c>
      <c r="P482" s="12" t="n">
        <v>750000</v>
      </c>
      <c r="Q482" s="12" t="n">
        <v>850000</v>
      </c>
      <c r="R482" s="12">
        <f>Q482-P482</f>
        <v/>
      </c>
      <c r="S482" s="13">
        <f>(Q482-P482)/P482</f>
        <v/>
      </c>
      <c r="T482" s="10">
        <f>IF(AND(K482&gt;=50000, S482&gt;=0.35), "Vượt KPI", IF(AND(K482&gt;=20000, S482&gt;=0), "Đạt KPI", "Chưa đạt KPI"))</f>
        <v/>
      </c>
    </row>
    <row r="483">
      <c r="A483" s="14" t="inlineStr">
        <is>
          <t>SP-0480</t>
        </is>
      </c>
      <c r="B483" s="15" t="n">
        <v>46064</v>
      </c>
      <c r="C483" s="14" t="inlineStr">
        <is>
          <t>Tháng 02/2026</t>
        </is>
      </c>
      <c r="D483" s="14" t="inlineStr">
        <is>
          <t>Quý 1</t>
        </is>
      </c>
      <c r="E483" s="16" t="inlineStr">
        <is>
          <t>Ban Kinh tế - Tài chính</t>
        </is>
      </c>
      <c r="F483" s="16" t="inlineStr">
        <is>
          <t>Nhóm Minh Tuấn</t>
        </is>
      </c>
      <c r="G483" s="16" t="inlineStr">
        <is>
          <t>TikTok</t>
        </is>
      </c>
      <c r="H483" s="16" t="inlineStr">
        <is>
          <t>Short Video (&lt;60s)</t>
        </is>
      </c>
      <c r="I483" s="16" t="inlineStr">
        <is>
          <t>Chính sách &amp; Pháp luật</t>
        </is>
      </c>
      <c r="J483" s="16" t="inlineStr">
        <is>
          <t>Toàn trình (70%)</t>
        </is>
      </c>
      <c r="K483" s="17" t="n">
        <v>221891</v>
      </c>
      <c r="L483" s="17" t="n">
        <v>23675</v>
      </c>
      <c r="M483" s="18">
        <f>L483/K483</f>
        <v/>
      </c>
      <c r="N483" s="17" t="n">
        <v>47</v>
      </c>
      <c r="O483" s="18" t="n">
        <v>0.3737</v>
      </c>
      <c r="P483" s="17" t="n">
        <v>1100000</v>
      </c>
      <c r="Q483" s="17" t="n">
        <v>2300000</v>
      </c>
      <c r="R483" s="17">
        <f>Q483-P483</f>
        <v/>
      </c>
      <c r="S483" s="18">
        <f>(Q483-P483)/P483</f>
        <v/>
      </c>
      <c r="T483" s="14">
        <f>IF(AND(K483&gt;=50000, S483&gt;=0.35), "Vượt KPI", IF(AND(K483&gt;=20000, S483&gt;=0), "Đạt KPI", "Chưa đạt KPI"))</f>
        <v/>
      </c>
    </row>
    <row r="484">
      <c r="A484" s="10" t="inlineStr">
        <is>
          <t>SP-0481</t>
        </is>
      </c>
      <c r="B484" s="11" t="n">
        <v>46185</v>
      </c>
      <c r="C484" s="10" t="inlineStr">
        <is>
          <t>Tháng 06/2026</t>
        </is>
      </c>
      <c r="D484" s="10" t="inlineStr">
        <is>
          <t>Quý 2</t>
        </is>
      </c>
      <c r="E484" s="5" t="inlineStr">
        <is>
          <t>Ban Thời sự - Chính trị</t>
        </is>
      </c>
      <c r="F484" s="5" t="inlineStr">
        <is>
          <t>Nhóm Việt Anh</t>
        </is>
      </c>
      <c r="G484" s="5" t="inlineStr">
        <is>
          <t>Facebook Page</t>
        </is>
      </c>
      <c r="H484" s="5" t="inlineStr">
        <is>
          <t>Facebook Reels</t>
        </is>
      </c>
      <c r="I484" s="5" t="inlineStr">
        <is>
          <t>Tài chính Cá nhân &amp; Đầu tư</t>
        </is>
      </c>
      <c r="J484" s="5" t="inlineStr">
        <is>
          <t>Thủ công (0%)</t>
        </is>
      </c>
      <c r="K484" s="12" t="n">
        <v>342678</v>
      </c>
      <c r="L484" s="12" t="n">
        <v>20663</v>
      </c>
      <c r="M484" s="13">
        <f>L484/K484</f>
        <v/>
      </c>
      <c r="N484" s="12" t="n">
        <v>145</v>
      </c>
      <c r="O484" s="13" t="n">
        <v>0.4121</v>
      </c>
      <c r="P484" s="12" t="n">
        <v>4950000</v>
      </c>
      <c r="Q484" s="12" t="n">
        <v>8750000</v>
      </c>
      <c r="R484" s="12">
        <f>Q484-P484</f>
        <v/>
      </c>
      <c r="S484" s="13">
        <f>(Q484-P484)/P484</f>
        <v/>
      </c>
      <c r="T484" s="10">
        <f>IF(AND(K484&gt;=50000, S484&gt;=0.35), "Vượt KPI", IF(AND(K484&gt;=20000, S484&gt;=0), "Đạt KPI", "Chưa đạt KPI"))</f>
        <v/>
      </c>
    </row>
    <row r="485">
      <c r="A485" s="14" t="inlineStr">
        <is>
          <t>SP-0482</t>
        </is>
      </c>
      <c r="B485" s="15" t="n">
        <v>46042</v>
      </c>
      <c r="C485" s="14" t="inlineStr">
        <is>
          <t>Tháng 01/2026</t>
        </is>
      </c>
      <c r="D485" s="14" t="inlineStr">
        <is>
          <t>Quý 1</t>
        </is>
      </c>
      <c r="E485" s="16" t="inlineStr">
        <is>
          <t>Ban Công nghệ &amp; AI</t>
        </is>
      </c>
      <c r="F485" s="16" t="inlineStr">
        <is>
          <t>Nhóm Gia Hưng</t>
        </is>
      </c>
      <c r="G485" s="16" t="inlineStr">
        <is>
          <t>YouTube</t>
        </is>
      </c>
      <c r="H485" s="16" t="inlineStr">
        <is>
          <t>YouTube Long-form (10-25p)</t>
        </is>
      </c>
      <c r="I485" s="16" t="inlineStr">
        <is>
          <t>Kinh tế - Thị trường</t>
        </is>
      </c>
      <c r="J485" s="16" t="inlineStr">
        <is>
          <t>Hỗ trợ sâu (40%)</t>
        </is>
      </c>
      <c r="K485" s="17" t="n">
        <v>381739</v>
      </c>
      <c r="L485" s="17" t="n">
        <v>10192</v>
      </c>
      <c r="M485" s="18">
        <f>L485/K485</f>
        <v/>
      </c>
      <c r="N485" s="17" t="n">
        <v>154</v>
      </c>
      <c r="O485" s="18" t="n">
        <v>0.4225</v>
      </c>
      <c r="P485" s="17" t="n">
        <v>7450000</v>
      </c>
      <c r="Q485" s="17" t="n">
        <v>37150000</v>
      </c>
      <c r="R485" s="17">
        <f>Q485-P485</f>
        <v/>
      </c>
      <c r="S485" s="18">
        <f>(Q485-P485)/P485</f>
        <v/>
      </c>
      <c r="T485" s="14">
        <f>IF(AND(K485&gt;=50000, S485&gt;=0.35), "Vượt KPI", IF(AND(K485&gt;=20000, S485&gt;=0), "Đạt KPI", "Chưa đạt KPI"))</f>
        <v/>
      </c>
    </row>
    <row r="486">
      <c r="A486" s="10" t="inlineStr">
        <is>
          <t>SP-0483</t>
        </is>
      </c>
      <c r="B486" s="11" t="n">
        <v>46095</v>
      </c>
      <c r="C486" s="10" t="inlineStr">
        <is>
          <t>Tháng 03/2026</t>
        </is>
      </c>
      <c r="D486" s="10" t="inlineStr">
        <is>
          <t>Quý 1</t>
        </is>
      </c>
      <c r="E486" s="5" t="inlineStr">
        <is>
          <t>Ban Kinh tế - Tài chính</t>
        </is>
      </c>
      <c r="F486" s="5" t="inlineStr">
        <is>
          <t>Nhóm Đức Thịnh</t>
        </is>
      </c>
      <c r="G486" s="5" t="inlineStr">
        <is>
          <t>TikTok</t>
        </is>
      </c>
      <c r="H486" s="5" t="inlineStr">
        <is>
          <t>TikTok Reel (1-3p)</t>
        </is>
      </c>
      <c r="I486" s="5" t="inlineStr">
        <is>
          <t>Kinh tế - Thị trường</t>
        </is>
      </c>
      <c r="J486" s="5" t="inlineStr">
        <is>
          <t>Cơ bản (15%)</t>
        </is>
      </c>
      <c r="K486" s="12" t="n">
        <v>1117908</v>
      </c>
      <c r="L486" s="12" t="n">
        <v>119504</v>
      </c>
      <c r="M486" s="13">
        <f>L486/K486</f>
        <v/>
      </c>
      <c r="N486" s="12" t="n">
        <v>37</v>
      </c>
      <c r="O486" s="13" t="n">
        <v>0.5306999999999999</v>
      </c>
      <c r="P486" s="12" t="n">
        <v>2350000</v>
      </c>
      <c r="Q486" s="12" t="n">
        <v>6950000</v>
      </c>
      <c r="R486" s="12">
        <f>Q486-P486</f>
        <v/>
      </c>
      <c r="S486" s="13">
        <f>(Q486-P486)/P486</f>
        <v/>
      </c>
      <c r="T486" s="10">
        <f>IF(AND(K486&gt;=50000, S486&gt;=0.35), "Vượt KPI", IF(AND(K486&gt;=20000, S486&gt;=0), "Đạt KPI", "Chưa đạt KPI"))</f>
        <v/>
      </c>
    </row>
    <row r="487">
      <c r="A487" s="14" t="inlineStr">
        <is>
          <t>SP-0484</t>
        </is>
      </c>
      <c r="B487" s="15" t="n">
        <v>46094</v>
      </c>
      <c r="C487" s="14" t="inlineStr">
        <is>
          <t>Tháng 03/2026</t>
        </is>
      </c>
      <c r="D487" s="14" t="inlineStr">
        <is>
          <t>Quý 1</t>
        </is>
      </c>
      <c r="E487" s="16" t="inlineStr">
        <is>
          <t>Ban Công nghệ &amp; AI</t>
        </is>
      </c>
      <c r="F487" s="16" t="inlineStr">
        <is>
          <t>Nhóm Gia Hưng</t>
        </is>
      </c>
      <c r="G487" s="16" t="inlineStr">
        <is>
          <t>Podcast / Audio</t>
        </is>
      </c>
      <c r="H487" s="16" t="inlineStr">
        <is>
          <t>Điểm tin Audio AI (5p)</t>
        </is>
      </c>
      <c r="I487" s="16" t="inlineStr">
        <is>
          <t>Kinh tế - Thị trường</t>
        </is>
      </c>
      <c r="J487" s="16" t="inlineStr">
        <is>
          <t>Hỗ trợ sâu (40%)</t>
        </is>
      </c>
      <c r="K487" s="17" t="n">
        <v>92211</v>
      </c>
      <c r="L487" s="17" t="n">
        <v>8428</v>
      </c>
      <c r="M487" s="18">
        <f>L487/K487</f>
        <v/>
      </c>
      <c r="N487" s="17" t="n">
        <v>496</v>
      </c>
      <c r="O487" s="18" t="n">
        <v>0.6327</v>
      </c>
      <c r="P487" s="17" t="n">
        <v>1750000</v>
      </c>
      <c r="Q487" s="17" t="n">
        <v>5150000</v>
      </c>
      <c r="R487" s="17">
        <f>Q487-P487</f>
        <v/>
      </c>
      <c r="S487" s="18">
        <f>(Q487-P487)/P487</f>
        <v/>
      </c>
      <c r="T487" s="14">
        <f>IF(AND(K487&gt;=50000, S487&gt;=0.35), "Vượt KPI", IF(AND(K487&gt;=20000, S487&gt;=0), "Đạt KPI", "Chưa đạt KPI"))</f>
        <v/>
      </c>
    </row>
    <row r="488">
      <c r="A488" s="10" t="inlineStr">
        <is>
          <t>SP-0485</t>
        </is>
      </c>
      <c r="B488" s="11" t="n">
        <v>46189</v>
      </c>
      <c r="C488" s="10" t="inlineStr">
        <is>
          <t>Tháng 06/2026</t>
        </is>
      </c>
      <c r="D488" s="10" t="inlineStr">
        <is>
          <t>Quý 2</t>
        </is>
      </c>
      <c r="E488" s="5" t="inlineStr">
        <is>
          <t>Ban Đời sống - Giới trẻ</t>
        </is>
      </c>
      <c r="F488" s="5" t="inlineStr">
        <is>
          <t>Nhóm Phương Thảo</t>
        </is>
      </c>
      <c r="G488" s="5" t="inlineStr">
        <is>
          <t>TikTok</t>
        </is>
      </c>
      <c r="H488" s="5" t="inlineStr">
        <is>
          <t>TikTok Reel (1-3p)</t>
        </is>
      </c>
      <c r="I488" s="5" t="inlineStr">
        <is>
          <t>Chính sách &amp; Pháp luật</t>
        </is>
      </c>
      <c r="J488" s="5" t="inlineStr">
        <is>
          <t>Thủ công (0%)</t>
        </is>
      </c>
      <c r="K488" s="12" t="n">
        <v>141880</v>
      </c>
      <c r="L488" s="12" t="n">
        <v>14258</v>
      </c>
      <c r="M488" s="13">
        <f>L488/K488</f>
        <v/>
      </c>
      <c r="N488" s="12" t="n">
        <v>89</v>
      </c>
      <c r="O488" s="13" t="n">
        <v>0.5679999999999999</v>
      </c>
      <c r="P488" s="12" t="n">
        <v>3700000</v>
      </c>
      <c r="Q488" s="12" t="n">
        <v>2500000</v>
      </c>
      <c r="R488" s="12">
        <f>Q488-P488</f>
        <v/>
      </c>
      <c r="S488" s="13">
        <f>(Q488-P488)/P488</f>
        <v/>
      </c>
      <c r="T488" s="10">
        <f>IF(AND(K488&gt;=50000, S488&gt;=0.35), "Vượt KPI", IF(AND(K488&gt;=20000, S488&gt;=0), "Đạt KPI", "Chưa đạt KPI"))</f>
        <v/>
      </c>
    </row>
    <row r="489">
      <c r="A489" s="14" t="inlineStr">
        <is>
          <t>SP-0486</t>
        </is>
      </c>
      <c r="B489" s="15" t="n">
        <v>46067</v>
      </c>
      <c r="C489" s="14" t="inlineStr">
        <is>
          <t>Tháng 02/2026</t>
        </is>
      </c>
      <c r="D489" s="14" t="inlineStr">
        <is>
          <t>Quý 1</t>
        </is>
      </c>
      <c r="E489" s="16" t="inlineStr">
        <is>
          <t>Ban Video &amp; Truyền hình số</t>
        </is>
      </c>
      <c r="F489" s="16" t="inlineStr">
        <is>
          <t>Nhóm Đặng Minh</t>
        </is>
      </c>
      <c r="G489" s="16" t="inlineStr">
        <is>
          <t>TikTok</t>
        </is>
      </c>
      <c r="H489" s="16" t="inlineStr">
        <is>
          <t>TikTok Reel (1-3p)</t>
        </is>
      </c>
      <c r="I489" s="16" t="inlineStr">
        <is>
          <t>Kinh tế - Thị trường</t>
        </is>
      </c>
      <c r="J489" s="16" t="inlineStr">
        <is>
          <t>Toàn trình (70%)</t>
        </is>
      </c>
      <c r="K489" s="17" t="n">
        <v>183706</v>
      </c>
      <c r="L489" s="17" t="n">
        <v>8854</v>
      </c>
      <c r="M489" s="18">
        <f>L489/K489</f>
        <v/>
      </c>
      <c r="N489" s="17" t="n">
        <v>44</v>
      </c>
      <c r="O489" s="18" t="n">
        <v>0.7921</v>
      </c>
      <c r="P489" s="17" t="n">
        <v>1100000</v>
      </c>
      <c r="Q489" s="17" t="n">
        <v>4850000</v>
      </c>
      <c r="R489" s="17">
        <f>Q489-P489</f>
        <v/>
      </c>
      <c r="S489" s="18">
        <f>(Q489-P489)/P489</f>
        <v/>
      </c>
      <c r="T489" s="14">
        <f>IF(AND(K489&gt;=50000, S489&gt;=0.35), "Vượt KPI", IF(AND(K489&gt;=20000, S489&gt;=0), "Đạt KPI", "Chưa đạt KPI"))</f>
        <v/>
      </c>
    </row>
    <row r="490">
      <c r="A490" s="10" t="inlineStr">
        <is>
          <t>SP-0487</t>
        </is>
      </c>
      <c r="B490" s="11" t="n">
        <v>46152</v>
      </c>
      <c r="C490" s="10" t="inlineStr">
        <is>
          <t>Tháng 05/2026</t>
        </is>
      </c>
      <c r="D490" s="10" t="inlineStr">
        <is>
          <t>Quý 2</t>
        </is>
      </c>
      <c r="E490" s="5" t="inlineStr">
        <is>
          <t>Ban Đời sống - Giới trẻ</t>
        </is>
      </c>
      <c r="F490" s="5" t="inlineStr">
        <is>
          <t>Nhóm Bảo Ngọc</t>
        </is>
      </c>
      <c r="G490" s="5" t="inlineStr">
        <is>
          <t>YouTube</t>
        </is>
      </c>
      <c r="H490" s="5" t="inlineStr">
        <is>
          <t>YouTube Documentary (&gt;25p)</t>
        </is>
      </c>
      <c r="I490" s="5" t="inlineStr">
        <is>
          <t>Chính sách &amp; Pháp luật</t>
        </is>
      </c>
      <c r="J490" s="5" t="inlineStr">
        <is>
          <t>Cơ bản (15%)</t>
        </is>
      </c>
      <c r="K490" s="12" t="n">
        <v>494320</v>
      </c>
      <c r="L490" s="12" t="n">
        <v>21255</v>
      </c>
      <c r="M490" s="13">
        <f>L490/K490</f>
        <v/>
      </c>
      <c r="N490" s="12" t="n">
        <v>346</v>
      </c>
      <c r="O490" s="13" t="n">
        <v>0.4963</v>
      </c>
      <c r="P490" s="12" t="n">
        <v>19700000</v>
      </c>
      <c r="Q490" s="12" t="n">
        <v>78000000</v>
      </c>
      <c r="R490" s="12">
        <f>Q490-P490</f>
        <v/>
      </c>
      <c r="S490" s="13">
        <f>(Q490-P490)/P490</f>
        <v/>
      </c>
      <c r="T490" s="10">
        <f>IF(AND(K490&gt;=50000, S490&gt;=0.35), "Vượt KPI", IF(AND(K490&gt;=20000, S490&gt;=0), "Đạt KPI", "Chưa đạt KPI"))</f>
        <v/>
      </c>
    </row>
    <row r="491">
      <c r="A491" s="14" t="inlineStr">
        <is>
          <t>SP-0488</t>
        </is>
      </c>
      <c r="B491" s="15" t="n">
        <v>46162</v>
      </c>
      <c r="C491" s="14" t="inlineStr">
        <is>
          <t>Tháng 05/2026</t>
        </is>
      </c>
      <c r="D491" s="14" t="inlineStr">
        <is>
          <t>Quý 2</t>
        </is>
      </c>
      <c r="E491" s="16" t="inlineStr">
        <is>
          <t>Ban Thời sự - Chính trị</t>
        </is>
      </c>
      <c r="F491" s="16" t="inlineStr">
        <is>
          <t>Nhóm Thanh Tâm</t>
        </is>
      </c>
      <c r="G491" s="16" t="inlineStr">
        <is>
          <t>YouTube</t>
        </is>
      </c>
      <c r="H491" s="16" t="inlineStr">
        <is>
          <t>YouTube Shorts</t>
        </is>
      </c>
      <c r="I491" s="16" t="inlineStr">
        <is>
          <t>Giáo dục &amp; Tuyển sinh</t>
        </is>
      </c>
      <c r="J491" s="16" t="inlineStr">
        <is>
          <t>Hỗ trợ sâu (40%)</t>
        </is>
      </c>
      <c r="K491" s="17" t="n">
        <v>762820</v>
      </c>
      <c r="L491" s="17" t="n">
        <v>52939</v>
      </c>
      <c r="M491" s="18">
        <f>L491/K491</f>
        <v/>
      </c>
      <c r="N491" s="17" t="n">
        <v>367</v>
      </c>
      <c r="O491" s="18" t="n">
        <v>0.7558</v>
      </c>
      <c r="P491" s="17" t="n">
        <v>5900000</v>
      </c>
      <c r="Q491" s="17" t="n">
        <v>16450000</v>
      </c>
      <c r="R491" s="17">
        <f>Q491-P491</f>
        <v/>
      </c>
      <c r="S491" s="18">
        <f>(Q491-P491)/P491</f>
        <v/>
      </c>
      <c r="T491" s="14">
        <f>IF(AND(K491&gt;=50000, S491&gt;=0.35), "Vượt KPI", IF(AND(K491&gt;=20000, S491&gt;=0), "Đạt KPI", "Chưa đạt KPI"))</f>
        <v/>
      </c>
    </row>
    <row r="492">
      <c r="A492" s="10" t="inlineStr">
        <is>
          <t>SP-0489</t>
        </is>
      </c>
      <c r="B492" s="11" t="n">
        <v>46026</v>
      </c>
      <c r="C492" s="10" t="inlineStr">
        <is>
          <t>Tháng 01/2026</t>
        </is>
      </c>
      <c r="D492" s="10" t="inlineStr">
        <is>
          <t>Quý 1</t>
        </is>
      </c>
      <c r="E492" s="5" t="inlineStr">
        <is>
          <t>Ban Video &amp; Truyền hình số</t>
        </is>
      </c>
      <c r="F492" s="5" t="inlineStr">
        <is>
          <t>Nhóm Hoàng Hải</t>
        </is>
      </c>
      <c r="G492" s="5" t="inlineStr">
        <is>
          <t>Facebook Page</t>
        </is>
      </c>
      <c r="H492" s="5" t="inlineStr">
        <is>
          <t>Facebook Reels</t>
        </is>
      </c>
      <c r="I492" s="5" t="inlineStr">
        <is>
          <t>Chính sách &amp; Pháp luật</t>
        </is>
      </c>
      <c r="J492" s="5" t="inlineStr">
        <is>
          <t>Cơ bản (15%)</t>
        </is>
      </c>
      <c r="K492" s="12" t="n">
        <v>593100</v>
      </c>
      <c r="L492" s="12" t="n">
        <v>20046</v>
      </c>
      <c r="M492" s="13">
        <f>L492/K492</f>
        <v/>
      </c>
      <c r="N492" s="12" t="n">
        <v>158</v>
      </c>
      <c r="O492" s="13" t="n">
        <v>0.606</v>
      </c>
      <c r="P492" s="12" t="n">
        <v>1650000</v>
      </c>
      <c r="Q492" s="12" t="n">
        <v>7300000</v>
      </c>
      <c r="R492" s="12">
        <f>Q492-P492</f>
        <v/>
      </c>
      <c r="S492" s="13">
        <f>(Q492-P492)/P492</f>
        <v/>
      </c>
      <c r="T492" s="10">
        <f>IF(AND(K492&gt;=50000, S492&gt;=0.35), "Vượt KPI", IF(AND(K492&gt;=20000, S492&gt;=0), "Đạt KPI", "Chưa đạt KPI"))</f>
        <v/>
      </c>
    </row>
    <row r="493">
      <c r="A493" s="14" t="inlineStr">
        <is>
          <t>SP-0490</t>
        </is>
      </c>
      <c r="B493" s="15" t="n">
        <v>46079</v>
      </c>
      <c r="C493" s="14" t="inlineStr">
        <is>
          <t>Tháng 02/2026</t>
        </is>
      </c>
      <c r="D493" s="14" t="inlineStr">
        <is>
          <t>Quý 1</t>
        </is>
      </c>
      <c r="E493" s="16" t="inlineStr">
        <is>
          <t>Ban Đời sống - Giới trẻ</t>
        </is>
      </c>
      <c r="F493" s="16" t="inlineStr">
        <is>
          <t>Nhóm Bảo Ngọc</t>
        </is>
      </c>
      <c r="G493" s="16" t="inlineStr">
        <is>
          <t>Podcast / Audio</t>
        </is>
      </c>
      <c r="H493" s="16" t="inlineStr">
        <is>
          <t>Podcast Chuyên sâu (20p)</t>
        </is>
      </c>
      <c r="I493" s="16" t="inlineStr">
        <is>
          <t>Chính sách &amp; Pháp luật</t>
        </is>
      </c>
      <c r="J493" s="16" t="inlineStr">
        <is>
          <t>Toàn trình (70%)</t>
        </is>
      </c>
      <c r="K493" s="17" t="n">
        <v>45631</v>
      </c>
      <c r="L493" s="17" t="n">
        <v>1200</v>
      </c>
      <c r="M493" s="18">
        <f>L493/K493</f>
        <v/>
      </c>
      <c r="N493" s="17" t="n">
        <v>601</v>
      </c>
      <c r="O493" s="18" t="n">
        <v>0.676</v>
      </c>
      <c r="P493" s="17" t="n">
        <v>2100000</v>
      </c>
      <c r="Q493" s="17" t="n">
        <v>4800000</v>
      </c>
      <c r="R493" s="17">
        <f>Q493-P493</f>
        <v/>
      </c>
      <c r="S493" s="18">
        <f>(Q493-P493)/P493</f>
        <v/>
      </c>
      <c r="T493" s="14">
        <f>IF(AND(K493&gt;=50000, S493&gt;=0.35), "Vượt KPI", IF(AND(K493&gt;=20000, S493&gt;=0), "Đạt KPI", "Chưa đạt KPI"))</f>
        <v/>
      </c>
    </row>
    <row r="494">
      <c r="A494" s="10" t="inlineStr">
        <is>
          <t>SP-0491</t>
        </is>
      </c>
      <c r="B494" s="11" t="n">
        <v>46144</v>
      </c>
      <c r="C494" s="10" t="inlineStr">
        <is>
          <t>Tháng 05/2026</t>
        </is>
      </c>
      <c r="D494" s="10" t="inlineStr">
        <is>
          <t>Quý 2</t>
        </is>
      </c>
      <c r="E494" s="5" t="inlineStr">
        <is>
          <t>Ban Kinh tế - Tài chính</t>
        </is>
      </c>
      <c r="F494" s="5" t="inlineStr">
        <is>
          <t>Nhóm Minh Tuấn</t>
        </is>
      </c>
      <c r="G494" s="5" t="inlineStr">
        <is>
          <t>Facebook Page</t>
        </is>
      </c>
      <c r="H494" s="5" t="inlineStr">
        <is>
          <t>Facebook Reels</t>
        </is>
      </c>
      <c r="I494" s="5" t="inlineStr">
        <is>
          <t>Tài chính Cá nhân &amp; Đầu tư</t>
        </is>
      </c>
      <c r="J494" s="5" t="inlineStr">
        <is>
          <t>Thủ công (0%)</t>
        </is>
      </c>
      <c r="K494" s="12" t="n">
        <v>433068</v>
      </c>
      <c r="L494" s="12" t="n">
        <v>18968</v>
      </c>
      <c r="M494" s="13">
        <f>L494/K494</f>
        <v/>
      </c>
      <c r="N494" s="12" t="n">
        <v>31</v>
      </c>
      <c r="O494" s="13" t="n">
        <v>0.5092</v>
      </c>
      <c r="P494" s="12" t="n">
        <v>2250000</v>
      </c>
      <c r="Q494" s="12" t="n">
        <v>2950000</v>
      </c>
      <c r="R494" s="12">
        <f>Q494-P494</f>
        <v/>
      </c>
      <c r="S494" s="13">
        <f>(Q494-P494)/P494</f>
        <v/>
      </c>
      <c r="T494" s="10">
        <f>IF(AND(K494&gt;=50000, S494&gt;=0.35), "Vượt KPI", IF(AND(K494&gt;=20000, S494&gt;=0), "Đạt KPI", "Chưa đạt KPI"))</f>
        <v/>
      </c>
    </row>
    <row r="495">
      <c r="A495" s="14" t="inlineStr">
        <is>
          <t>SP-0492</t>
        </is>
      </c>
      <c r="B495" s="15" t="n">
        <v>46116</v>
      </c>
      <c r="C495" s="14" t="inlineStr">
        <is>
          <t>Tháng 04/2026</t>
        </is>
      </c>
      <c r="D495" s="14" t="inlineStr">
        <is>
          <t>Quý 2</t>
        </is>
      </c>
      <c r="E495" s="16" t="inlineStr">
        <is>
          <t>Ban Công nghệ &amp; AI</t>
        </is>
      </c>
      <c r="F495" s="16" t="inlineStr">
        <is>
          <t>Nhóm Tuấn Kiệt</t>
        </is>
      </c>
      <c r="G495" s="16" t="inlineStr">
        <is>
          <t>TikTok</t>
        </is>
      </c>
      <c r="H495" s="16" t="inlineStr">
        <is>
          <t>TikTok Reel (1-3p)</t>
        </is>
      </c>
      <c r="I495" s="16" t="inlineStr">
        <is>
          <t>Công nghệ &amp; AI</t>
        </is>
      </c>
      <c r="J495" s="16" t="inlineStr">
        <is>
          <t>Cơ bản (15%)</t>
        </is>
      </c>
      <c r="K495" s="17" t="n">
        <v>510934</v>
      </c>
      <c r="L495" s="17" t="n">
        <v>34334</v>
      </c>
      <c r="M495" s="18">
        <f>L495/K495</f>
        <v/>
      </c>
      <c r="N495" s="17" t="n">
        <v>19</v>
      </c>
      <c r="O495" s="18" t="n">
        <v>0.492</v>
      </c>
      <c r="P495" s="17" t="n">
        <v>2850000</v>
      </c>
      <c r="Q495" s="17" t="n">
        <v>8700000</v>
      </c>
      <c r="R495" s="17">
        <f>Q495-P495</f>
        <v/>
      </c>
      <c r="S495" s="18">
        <f>(Q495-P495)/P495</f>
        <v/>
      </c>
      <c r="T495" s="14">
        <f>IF(AND(K495&gt;=50000, S495&gt;=0.35), "Vượt KPI", IF(AND(K495&gt;=20000, S495&gt;=0), "Đạt KPI", "Chưa đạt KPI"))</f>
        <v/>
      </c>
    </row>
    <row r="496">
      <c r="A496" s="10" t="inlineStr">
        <is>
          <t>SP-0493</t>
        </is>
      </c>
      <c r="B496" s="11" t="n">
        <v>46079</v>
      </c>
      <c r="C496" s="10" t="inlineStr">
        <is>
          <t>Tháng 02/2026</t>
        </is>
      </c>
      <c r="D496" s="10" t="inlineStr">
        <is>
          <t>Quý 1</t>
        </is>
      </c>
      <c r="E496" s="5" t="inlineStr">
        <is>
          <t>Ban Đời sống - Giới trẻ</t>
        </is>
      </c>
      <c r="F496" s="5" t="inlineStr">
        <is>
          <t>Nhóm Duy Khánh</t>
        </is>
      </c>
      <c r="G496" s="5" t="inlineStr">
        <is>
          <t>Podcast / Audio</t>
        </is>
      </c>
      <c r="H496" s="5" t="inlineStr">
        <is>
          <t>Điểm tin Audio AI (5p)</t>
        </is>
      </c>
      <c r="I496" s="5" t="inlineStr">
        <is>
          <t>Đời sống - Xã hội</t>
        </is>
      </c>
      <c r="J496" s="5" t="inlineStr">
        <is>
          <t>Cơ bản (15%)</t>
        </is>
      </c>
      <c r="K496" s="12" t="n">
        <v>42665</v>
      </c>
      <c r="L496" s="12" t="n">
        <v>3583</v>
      </c>
      <c r="M496" s="13">
        <f>L496/K496</f>
        <v/>
      </c>
      <c r="N496" s="12" t="n">
        <v>520</v>
      </c>
      <c r="O496" s="13" t="n">
        <v>0.495</v>
      </c>
      <c r="P496" s="12" t="n">
        <v>850000</v>
      </c>
      <c r="Q496" s="12" t="n">
        <v>1800000</v>
      </c>
      <c r="R496" s="12">
        <f>Q496-P496</f>
        <v/>
      </c>
      <c r="S496" s="13">
        <f>(Q496-P496)/P496</f>
        <v/>
      </c>
      <c r="T496" s="10">
        <f>IF(AND(K496&gt;=50000, S496&gt;=0.35), "Vượt KPI", IF(AND(K496&gt;=20000, S496&gt;=0), "Đạt KPI", "Chưa đạt KPI"))</f>
        <v/>
      </c>
    </row>
    <row r="497">
      <c r="A497" s="14" t="inlineStr">
        <is>
          <t>SP-0494</t>
        </is>
      </c>
      <c r="B497" s="15" t="n">
        <v>46086</v>
      </c>
      <c r="C497" s="14" t="inlineStr">
        <is>
          <t>Tháng 03/2026</t>
        </is>
      </c>
      <c r="D497" s="14" t="inlineStr">
        <is>
          <t>Quý 1</t>
        </is>
      </c>
      <c r="E497" s="16" t="inlineStr">
        <is>
          <t>Ban Thời sự - Chính trị</t>
        </is>
      </c>
      <c r="F497" s="16" t="inlineStr">
        <is>
          <t>Nhóm Việt Anh</t>
        </is>
      </c>
      <c r="G497" s="16" t="inlineStr">
        <is>
          <t>Facebook Page</t>
        </is>
      </c>
      <c r="H497" s="16" t="inlineStr">
        <is>
          <t>Photo Story / Carousel</t>
        </is>
      </c>
      <c r="I497" s="16" t="inlineStr">
        <is>
          <t>Giáo dục &amp; Tuyển sinh</t>
        </is>
      </c>
      <c r="J497" s="16" t="inlineStr">
        <is>
          <t>Hỗ trợ sâu (40%)</t>
        </is>
      </c>
      <c r="K497" s="17" t="n">
        <v>99610</v>
      </c>
      <c r="L497" s="17" t="n">
        <v>7540</v>
      </c>
      <c r="M497" s="18">
        <f>L497/K497</f>
        <v/>
      </c>
      <c r="N497" s="17" t="n">
        <v>60</v>
      </c>
      <c r="O497" s="18" t="n">
        <v>0.667</v>
      </c>
      <c r="P497" s="17" t="n">
        <v>2600000</v>
      </c>
      <c r="Q497" s="17" t="n">
        <v>4000000</v>
      </c>
      <c r="R497" s="17">
        <f>Q497-P497</f>
        <v/>
      </c>
      <c r="S497" s="18">
        <f>(Q497-P497)/P497</f>
        <v/>
      </c>
      <c r="T497" s="14">
        <f>IF(AND(K497&gt;=50000, S497&gt;=0.35), "Vượt KPI", IF(AND(K497&gt;=20000, S497&gt;=0), "Đạt KPI", "Chưa đạt KPI"))</f>
        <v/>
      </c>
    </row>
    <row r="498">
      <c r="A498" s="10" t="inlineStr">
        <is>
          <t>SP-0495</t>
        </is>
      </c>
      <c r="B498" s="11" t="n">
        <v>46069</v>
      </c>
      <c r="C498" s="10" t="inlineStr">
        <is>
          <t>Tháng 02/2026</t>
        </is>
      </c>
      <c r="D498" s="10" t="inlineStr">
        <is>
          <t>Quý 1</t>
        </is>
      </c>
      <c r="E498" s="5" t="inlineStr">
        <is>
          <t>Ban Phóng sự - Điều tra</t>
        </is>
      </c>
      <c r="F498" s="5" t="inlineStr">
        <is>
          <t>Nhóm Khánh Linh</t>
        </is>
      </c>
      <c r="G498" s="5" t="inlineStr">
        <is>
          <t>TikTok</t>
        </is>
      </c>
      <c r="H498" s="5" t="inlineStr">
        <is>
          <t>TikTok Reel (1-3p)</t>
        </is>
      </c>
      <c r="I498" s="5" t="inlineStr">
        <is>
          <t>Phóng sự Điều tra</t>
        </is>
      </c>
      <c r="J498" s="5" t="inlineStr">
        <is>
          <t>Toàn trình (70%)</t>
        </is>
      </c>
      <c r="K498" s="12" t="n">
        <v>489557</v>
      </c>
      <c r="L498" s="12" t="n">
        <v>56886</v>
      </c>
      <c r="M498" s="13">
        <f>L498/K498</f>
        <v/>
      </c>
      <c r="N498" s="12" t="n">
        <v>29</v>
      </c>
      <c r="O498" s="13" t="n">
        <v>0.5175999999999999</v>
      </c>
      <c r="P498" s="12" t="n">
        <v>1550000</v>
      </c>
      <c r="Q498" s="12" t="n">
        <v>6200000</v>
      </c>
      <c r="R498" s="12">
        <f>Q498-P498</f>
        <v/>
      </c>
      <c r="S498" s="13">
        <f>(Q498-P498)/P498</f>
        <v/>
      </c>
      <c r="T498" s="10">
        <f>IF(AND(K498&gt;=50000, S498&gt;=0.35), "Vượt KPI", IF(AND(K498&gt;=20000, S498&gt;=0), "Đạt KPI", "Chưa đạt KPI"))</f>
        <v/>
      </c>
    </row>
    <row r="499">
      <c r="A499" s="14" t="inlineStr">
        <is>
          <t>SP-0496</t>
        </is>
      </c>
      <c r="B499" s="15" t="n">
        <v>46182</v>
      </c>
      <c r="C499" s="14" t="inlineStr">
        <is>
          <t>Tháng 06/2026</t>
        </is>
      </c>
      <c r="D499" s="14" t="inlineStr">
        <is>
          <t>Quý 2</t>
        </is>
      </c>
      <c r="E499" s="16" t="inlineStr">
        <is>
          <t>Ban Công nghệ &amp; AI</t>
        </is>
      </c>
      <c r="F499" s="16" t="inlineStr">
        <is>
          <t>Nhóm Tuấn Kiệt</t>
        </is>
      </c>
      <c r="G499" s="16" t="inlineStr">
        <is>
          <t>Podcast / Audio</t>
        </is>
      </c>
      <c r="H499" s="16" t="inlineStr">
        <is>
          <t>Điểm tin Audio AI (5p)</t>
        </is>
      </c>
      <c r="I499" s="16" t="inlineStr">
        <is>
          <t>Kinh tế - Thị trường</t>
        </is>
      </c>
      <c r="J499" s="16" t="inlineStr">
        <is>
          <t>Hỗ trợ sâu (40%)</t>
        </is>
      </c>
      <c r="K499" s="17" t="n">
        <v>27958</v>
      </c>
      <c r="L499" s="17" t="n">
        <v>1943</v>
      </c>
      <c r="M499" s="18">
        <f>L499/K499</f>
        <v/>
      </c>
      <c r="N499" s="17" t="n">
        <v>910</v>
      </c>
      <c r="O499" s="18" t="n">
        <v>0.6002999999999999</v>
      </c>
      <c r="P499" s="17" t="n">
        <v>1300000</v>
      </c>
      <c r="Q499" s="17" t="n">
        <v>4600000</v>
      </c>
      <c r="R499" s="17">
        <f>Q499-P499</f>
        <v/>
      </c>
      <c r="S499" s="18">
        <f>(Q499-P499)/P499</f>
        <v/>
      </c>
      <c r="T499" s="14">
        <f>IF(AND(K499&gt;=50000, S499&gt;=0.35), "Vượt KPI", IF(AND(K499&gt;=20000, S499&gt;=0), "Đạt KPI", "Chưa đạt KPI"))</f>
        <v/>
      </c>
    </row>
    <row r="500">
      <c r="A500" s="10" t="inlineStr">
        <is>
          <t>SP-0497</t>
        </is>
      </c>
      <c r="B500" s="11" t="n">
        <v>46160</v>
      </c>
      <c r="C500" s="10" t="inlineStr">
        <is>
          <t>Tháng 05/2026</t>
        </is>
      </c>
      <c r="D500" s="10" t="inlineStr">
        <is>
          <t>Quý 2</t>
        </is>
      </c>
      <c r="E500" s="5" t="inlineStr">
        <is>
          <t>Ban Công nghệ &amp; AI</t>
        </is>
      </c>
      <c r="F500" s="5" t="inlineStr">
        <is>
          <t>Nhóm Tuấn Kiệt</t>
        </is>
      </c>
      <c r="G500" s="5" t="inlineStr">
        <is>
          <t>Báo Điện tử (Web)</t>
        </is>
      </c>
      <c r="H500" s="5" t="inlineStr">
        <is>
          <t>Longform / E-magazine</t>
        </is>
      </c>
      <c r="I500" s="5" t="inlineStr">
        <is>
          <t>Giáo dục &amp; Tuyển sinh</t>
        </is>
      </c>
      <c r="J500" s="5" t="inlineStr">
        <is>
          <t>Hỗ trợ sâu (40%)</t>
        </is>
      </c>
      <c r="K500" s="12" t="n">
        <v>163953</v>
      </c>
      <c r="L500" s="12" t="n">
        <v>13837</v>
      </c>
      <c r="M500" s="13">
        <f>L500/K500</f>
        <v/>
      </c>
      <c r="N500" s="12" t="n">
        <v>242</v>
      </c>
      <c r="O500" s="13" t="n">
        <v>0.5358000000000001</v>
      </c>
      <c r="P500" s="12" t="n">
        <v>3150000</v>
      </c>
      <c r="Q500" s="12" t="n">
        <v>8850000</v>
      </c>
      <c r="R500" s="12">
        <f>Q500-P500</f>
        <v/>
      </c>
      <c r="S500" s="13">
        <f>(Q500-P500)/P500</f>
        <v/>
      </c>
      <c r="T500" s="10">
        <f>IF(AND(K500&gt;=50000, S500&gt;=0.35), "Vượt KPI", IF(AND(K500&gt;=20000, S500&gt;=0), "Đạt KPI", "Chưa đạt KPI"))</f>
        <v/>
      </c>
    </row>
    <row r="501">
      <c r="A501" s="14" t="inlineStr">
        <is>
          <t>SP-0498</t>
        </is>
      </c>
      <c r="B501" s="15" t="n">
        <v>46201</v>
      </c>
      <c r="C501" s="14" t="inlineStr">
        <is>
          <t>Tháng 06/2026</t>
        </is>
      </c>
      <c r="D501" s="14" t="inlineStr">
        <is>
          <t>Quý 2</t>
        </is>
      </c>
      <c r="E501" s="16" t="inlineStr">
        <is>
          <t>Ban Phóng sự - Điều tra</t>
        </is>
      </c>
      <c r="F501" s="16" t="inlineStr">
        <is>
          <t>Nhóm Khánh Linh</t>
        </is>
      </c>
      <c r="G501" s="16" t="inlineStr">
        <is>
          <t>TikTok</t>
        </is>
      </c>
      <c r="H501" s="16" t="inlineStr">
        <is>
          <t>TikTok Reel (1-3p)</t>
        </is>
      </c>
      <c r="I501" s="16" t="inlineStr">
        <is>
          <t>Đời sống - Xã hội</t>
        </is>
      </c>
      <c r="J501" s="16" t="inlineStr">
        <is>
          <t>Hỗ trợ sâu (40%)</t>
        </is>
      </c>
      <c r="K501" s="17" t="n">
        <v>306838</v>
      </c>
      <c r="L501" s="17" t="n">
        <v>23626</v>
      </c>
      <c r="M501" s="18">
        <f>L501/K501</f>
        <v/>
      </c>
      <c r="N501" s="17" t="n">
        <v>61</v>
      </c>
      <c r="O501" s="18" t="n">
        <v>0.3733</v>
      </c>
      <c r="P501" s="17" t="n">
        <v>1600000</v>
      </c>
      <c r="Q501" s="17" t="n">
        <v>1100000</v>
      </c>
      <c r="R501" s="17">
        <f>Q501-P501</f>
        <v/>
      </c>
      <c r="S501" s="18">
        <f>(Q501-P501)/P501</f>
        <v/>
      </c>
      <c r="T501" s="14">
        <f>IF(AND(K501&gt;=50000, S501&gt;=0.35), "Vượt KPI", IF(AND(K501&gt;=20000, S501&gt;=0), "Đạt KPI", "Chưa đạt KPI"))</f>
        <v/>
      </c>
    </row>
    <row r="502">
      <c r="A502" s="10" t="inlineStr">
        <is>
          <t>SP-0499</t>
        </is>
      </c>
      <c r="B502" s="11" t="n">
        <v>46136</v>
      </c>
      <c r="C502" s="10" t="inlineStr">
        <is>
          <t>Tháng 04/2026</t>
        </is>
      </c>
      <c r="D502" s="10" t="inlineStr">
        <is>
          <t>Quý 2</t>
        </is>
      </c>
      <c r="E502" s="5" t="inlineStr">
        <is>
          <t>Ban Phóng sự - Điều tra</t>
        </is>
      </c>
      <c r="F502" s="5" t="inlineStr">
        <is>
          <t>Nhóm Khánh Linh</t>
        </is>
      </c>
      <c r="G502" s="5" t="inlineStr">
        <is>
          <t>TikTok</t>
        </is>
      </c>
      <c r="H502" s="5" t="inlineStr">
        <is>
          <t>TikTok Reel (1-3p)</t>
        </is>
      </c>
      <c r="I502" s="5" t="inlineStr">
        <is>
          <t>Chính sách &amp; Pháp luật</t>
        </is>
      </c>
      <c r="J502" s="5" t="inlineStr">
        <is>
          <t>Cơ bản (15%)</t>
        </is>
      </c>
      <c r="K502" s="12" t="n">
        <v>525638</v>
      </c>
      <c r="L502" s="12" t="n">
        <v>28174</v>
      </c>
      <c r="M502" s="13">
        <f>L502/K502</f>
        <v/>
      </c>
      <c r="N502" s="12" t="n">
        <v>74</v>
      </c>
      <c r="O502" s="13" t="n">
        <v>0.4718</v>
      </c>
      <c r="P502" s="12" t="n">
        <v>3050000</v>
      </c>
      <c r="Q502" s="12" t="n">
        <v>4250000</v>
      </c>
      <c r="R502" s="12">
        <f>Q502-P502</f>
        <v/>
      </c>
      <c r="S502" s="13">
        <f>(Q502-P502)/P502</f>
        <v/>
      </c>
      <c r="T502" s="10">
        <f>IF(AND(K502&gt;=50000, S502&gt;=0.35), "Vượt KPI", IF(AND(K502&gt;=20000, S502&gt;=0), "Đạt KPI", "Chưa đạt KPI"))</f>
        <v/>
      </c>
    </row>
    <row r="503">
      <c r="A503" s="14" t="inlineStr">
        <is>
          <t>SP-0500</t>
        </is>
      </c>
      <c r="B503" s="15" t="n">
        <v>46176</v>
      </c>
      <c r="C503" s="14" t="inlineStr">
        <is>
          <t>Tháng 06/2026</t>
        </is>
      </c>
      <c r="D503" s="14" t="inlineStr">
        <is>
          <t>Quý 2</t>
        </is>
      </c>
      <c r="E503" s="16" t="inlineStr">
        <is>
          <t>Ban Công nghệ &amp; AI</t>
        </is>
      </c>
      <c r="F503" s="16" t="inlineStr">
        <is>
          <t>Nhóm Tuấn Kiệt</t>
        </is>
      </c>
      <c r="G503" s="16" t="inlineStr">
        <is>
          <t>Facebook Page</t>
        </is>
      </c>
      <c r="H503" s="16" t="inlineStr">
        <is>
          <t>Video Bản tin (3-5p)</t>
        </is>
      </c>
      <c r="I503" s="16" t="inlineStr">
        <is>
          <t>Kinh tế - Thị trường</t>
        </is>
      </c>
      <c r="J503" s="16" t="inlineStr">
        <is>
          <t>Hỗ trợ sâu (40%)</t>
        </is>
      </c>
      <c r="K503" s="17" t="n">
        <v>261989</v>
      </c>
      <c r="L503" s="17" t="n">
        <v>20382</v>
      </c>
      <c r="M503" s="18">
        <f>L503/K503</f>
        <v/>
      </c>
      <c r="N503" s="17" t="n">
        <v>26</v>
      </c>
      <c r="O503" s="18" t="n">
        <v>0.4834</v>
      </c>
      <c r="P503" s="17" t="n">
        <v>3250000</v>
      </c>
      <c r="Q503" s="17" t="n">
        <v>8500000</v>
      </c>
      <c r="R503" s="17">
        <f>Q503-P503</f>
        <v/>
      </c>
      <c r="S503" s="18">
        <f>(Q503-P503)/P503</f>
        <v/>
      </c>
      <c r="T503" s="14">
        <f>IF(AND(K503&gt;=50000, S503&gt;=0.35), "Vượt KPI", IF(AND(K503&gt;=20000, S503&gt;=0), "Đạt KPI", "Chưa đạt KPI"))</f>
        <v/>
      </c>
    </row>
    <row r="504">
      <c r="A504" s="19" t="inlineStr">
        <is>
          <t>TỔNG CỘNG / TRUNG BÌNH</t>
        </is>
      </c>
      <c r="B504" s="20" t="n"/>
      <c r="C504" s="20" t="n"/>
      <c r="D504" s="20" t="n"/>
      <c r="E504" s="20" t="n"/>
      <c r="F504" s="20" t="n"/>
      <c r="G504" s="20" t="n"/>
      <c r="H504" s="20" t="n"/>
      <c r="I504" s="20" t="n"/>
      <c r="J504" s="20" t="n"/>
      <c r="K504" s="21">
        <f>SUM(K4:K503)</f>
        <v/>
      </c>
      <c r="L504" s="21">
        <f>SUM(L4:L503)</f>
        <v/>
      </c>
      <c r="M504" s="22">
        <f>L504/K504</f>
        <v/>
      </c>
      <c r="N504" s="21">
        <f>AVERAGE(N4:N503)</f>
        <v/>
      </c>
      <c r="O504" s="22">
        <f>AVERAGE(O4:O503)</f>
        <v/>
      </c>
      <c r="P504" s="21">
        <f>SUM(P4:P503)</f>
        <v/>
      </c>
      <c r="Q504" s="21">
        <f>SUM(Q4:Q503)</f>
        <v/>
      </c>
      <c r="R504" s="21">
        <f>SUM(R4:R503)</f>
        <v/>
      </c>
      <c r="S504" s="22">
        <f>R504/P504</f>
        <v/>
      </c>
      <c r="T504" s="19">
        <f>COUNTIF(T4:T503, "Vượt KPI") &amp; " SP Vượt KPI"</f>
        <v/>
      </c>
    </row>
  </sheetData>
  <autoFilter ref="A3:T503"/>
  <mergeCells count="2">
    <mergeCell ref="A1:T2"/>
    <mergeCell ref="A504:J504"/>
  </mergeCells>
  <conditionalFormatting sqref="T4:T503">
    <cfRule type="cellIs" priority="1" operator="equal" dxfId="0">
      <formula>"Vượt KPI"</formula>
    </cfRule>
    <cfRule type="cellIs" priority="2" operator="equal" dxfId="1">
      <formula>"Chưa đạt KPI"</formula>
    </cfRule>
    <cfRule type="cellIs" priority="3" operator="equal" dxfId="2">
      <formula>"Đạt KPI"</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4"/>
  <sheetViews>
    <sheetView showGridLines="1" workbookViewId="0">
      <pane ySplit="3" topLeftCell="A4" activePane="bottomLeft" state="frozen"/>
      <selection pane="bottomLeft" activeCell="A1" sqref="A1"/>
    </sheetView>
  </sheetViews>
  <sheetFormatPr baseColWidth="8" defaultRowHeight="15"/>
  <cols>
    <col width="13" customWidth="1" min="1" max="1"/>
    <col width="14" customWidth="1" min="2" max="2"/>
    <col width="14" customWidth="1" min="3" max="3"/>
    <col width="30" customWidth="1" min="4" max="4"/>
    <col width="20" customWidth="1" min="5" max="5"/>
    <col width="32" customWidth="1" min="6" max="6"/>
    <col width="20" customWidth="1" min="7" max="7"/>
    <col width="26" customWidth="1" min="8" max="8"/>
    <col width="16" customWidth="1" min="9" max="9"/>
    <col width="16" customWidth="1" min="10" max="10"/>
    <col width="14" customWidth="1" min="11" max="11"/>
    <col width="20" customWidth="1" min="12" max="12"/>
    <col width="20" customWidth="1" min="13" max="13"/>
    <col width="15" customWidth="1" min="14" max="14"/>
    <col width="20" customWidth="1" min="15" max="15"/>
    <col width="15" customWidth="1" min="16" max="16"/>
    <col width="18" customWidth="1" min="17" max="17"/>
    <col width="22" customWidth="1" min="18" max="18"/>
  </cols>
  <sheetData>
    <row r="1" ht="20" customHeight="1">
      <c r="A1" s="1" t="inlineStr">
        <is>
          <t>BỘ DỮ LIỆU 2: THEO DÕI TIẾN ĐỘ DỰ ÁN, GIẢI NGÂN NGÂN SÁCH &amp; XỬ LÝ HỒ SƠ HÀNH CHÍNH (6 THÁNG ĐẦU NĂM 2026 - 180 BẢN GHI)</t>
        </is>
      </c>
    </row>
    <row r="2" ht="20" customHeight="1"/>
    <row r="3" ht="28" customHeight="1">
      <c r="A3" s="23" t="inlineStr">
        <is>
          <t>Mã Nhiệm vụ</t>
        </is>
      </c>
      <c r="B3" s="23" t="inlineStr">
        <is>
          <t>Ngày giao việc</t>
        </is>
      </c>
      <c r="C3" s="23" t="inlineStr">
        <is>
          <t>Tháng</t>
        </is>
      </c>
      <c r="D3" s="23" t="inlineStr">
        <is>
          <t>Phòng ban / Đơn vị chủ trì</t>
        </is>
      </c>
      <c r="E3" s="23" t="inlineStr">
        <is>
          <t>Cán bộ phụ trách</t>
        </is>
      </c>
      <c r="F3" s="23" t="inlineStr">
        <is>
          <t>Nhóm Nghiệp vụ</t>
        </is>
      </c>
      <c r="G3" s="23" t="inlineStr">
        <is>
          <t>Mức độ ưu tiên</t>
        </is>
      </c>
      <c r="H3" s="23" t="inlineStr">
        <is>
          <t>Phương thức xử lý (AI / Số hóa)</t>
        </is>
      </c>
      <c r="I3" s="23" t="inlineStr">
        <is>
          <t>Tổng Hồ sơ / Đầu việc phát sinh</t>
        </is>
      </c>
      <c r="J3" s="23" t="inlineStr">
        <is>
          <t>Hồ sơ hoàn thành đúng hạn</t>
        </is>
      </c>
      <c r="K3" s="23" t="inlineStr">
        <is>
          <t>Tỷ lệ đúng hạn (SLA %)</t>
        </is>
      </c>
      <c r="L3" s="23" t="inlineStr">
        <is>
          <t>Ngân sách được duyệt (VNĐ)</t>
        </is>
      </c>
      <c r="M3" s="23" t="inlineStr">
        <is>
          <t>Thực tế đã giải ngân (VNĐ)</t>
        </is>
      </c>
      <c r="N3" s="23" t="inlineStr">
        <is>
          <t>Tỷ lệ giải ngân (%)</t>
        </is>
      </c>
      <c r="O3" s="23" t="inlineStr">
        <is>
          <t>Chênh lệch Ngân sách (VNĐ)</t>
        </is>
      </c>
      <c r="P3" s="23" t="inlineStr">
        <is>
          <t>Số giờ công tiêu hao</t>
        </is>
      </c>
      <c r="Q3" s="23" t="inlineStr">
        <is>
          <t>Trạng thái tiến độ</t>
        </is>
      </c>
      <c r="R3" s="23" t="inlineStr">
        <is>
          <t>Đánh giá Cấp độ Rủi ro</t>
        </is>
      </c>
    </row>
    <row r="4">
      <c r="A4" s="10" t="inlineStr">
        <is>
          <t>NV-001</t>
        </is>
      </c>
      <c r="B4" s="11" t="n">
        <v>46086</v>
      </c>
      <c r="C4" s="10" t="inlineStr">
        <is>
          <t>Tháng 03/2026</t>
        </is>
      </c>
      <c r="D4" s="5" t="inlineStr">
        <is>
          <t>Phòng Tổ chức - Nhân sự &amp; Đào tạo</t>
        </is>
      </c>
      <c r="E4" s="5" t="inlineStr">
        <is>
          <t>Lý Minh Khôi</t>
        </is>
      </c>
      <c r="F4" s="5" t="inlineStr">
        <is>
          <t>Thẩm định Hồ sơ đấu thầu &amp; Mua sắm</t>
        </is>
      </c>
      <c r="G4" s="10" t="inlineStr">
        <is>
          <t>Quan trọng (Trung bình)</t>
        </is>
      </c>
      <c r="H4" s="5" t="inlineStr">
        <is>
          <t>Phần mềm Quản lý (E-Office)</t>
        </is>
      </c>
      <c r="I4" s="12" t="n">
        <v>66</v>
      </c>
      <c r="J4" s="12" t="n">
        <v>58</v>
      </c>
      <c r="K4" s="13">
        <f>J4/I4</f>
        <v/>
      </c>
      <c r="L4" s="12" t="n">
        <v>97000000</v>
      </c>
      <c r="M4" s="12" t="n">
        <v>84200000</v>
      </c>
      <c r="N4" s="13">
        <f>M4/L4</f>
        <v/>
      </c>
      <c r="O4" s="12">
        <f>L4-M4</f>
        <v/>
      </c>
      <c r="P4" s="12" t="n">
        <v>93</v>
      </c>
      <c r="Q4" s="10" t="inlineStr">
        <is>
          <t>Hoàn thành</t>
        </is>
      </c>
      <c r="R4" s="10">
        <f>IF(OR(K4&lt;0.75, N4&gt;1.0, Q4="Quá hạn xử lý"), "Rủi ro Cao (Cần xử lý)", IF(K4&lt;0.88, "Rủi ro Trung bình", "An toàn / Tốt"))</f>
        <v/>
      </c>
    </row>
    <row r="5">
      <c r="A5" s="14" t="inlineStr">
        <is>
          <t>NV-002</t>
        </is>
      </c>
      <c r="B5" s="15" t="n">
        <v>46140</v>
      </c>
      <c r="C5" s="14" t="inlineStr">
        <is>
          <t>Tháng 04/2026</t>
        </is>
      </c>
      <c r="D5" s="16" t="inlineStr">
        <is>
          <t>Phòng Tổ chức - Nhân sự &amp; Đào tạo</t>
        </is>
      </c>
      <c r="E5" s="16" t="inlineStr">
        <is>
          <t>Lý Minh Khôi</t>
        </is>
      </c>
      <c r="F5" s="16" t="inlineStr">
        <is>
          <t>Soạn thảo &amp; Ban hành Văn bản điều hành</t>
        </is>
      </c>
      <c r="G5" s="14" t="inlineStr">
        <is>
          <t>Định kỳ (Thấp)</t>
        </is>
      </c>
      <c r="H5" s="16" t="inlineStr">
        <is>
          <t>Tự động hóa bằng AI Agent</t>
        </is>
      </c>
      <c r="I5" s="17" t="n">
        <v>81</v>
      </c>
      <c r="J5" s="17" t="n">
        <v>72</v>
      </c>
      <c r="K5" s="18">
        <f>J5/I5</f>
        <v/>
      </c>
      <c r="L5" s="17" t="n">
        <v>94000000</v>
      </c>
      <c r="M5" s="17" t="n">
        <v>68100000</v>
      </c>
      <c r="N5" s="18">
        <f>M5/L5</f>
        <v/>
      </c>
      <c r="O5" s="17">
        <f>L5-M5</f>
        <v/>
      </c>
      <c r="P5" s="17" t="n">
        <v>71</v>
      </c>
      <c r="Q5" s="14" t="inlineStr">
        <is>
          <t>Hoàn thành</t>
        </is>
      </c>
      <c r="R5" s="14">
        <f>IF(OR(K5&lt;0.75, N5&gt;1.0, Q5="Quá hạn xử lý"), "Rủi ro Cao (Cần xử lý)", IF(K5&lt;0.88, "Rủi ro Trung bình", "An toàn / Tốt"))</f>
        <v/>
      </c>
    </row>
    <row r="6">
      <c r="A6" s="10" t="inlineStr">
        <is>
          <t>NV-003</t>
        </is>
      </c>
      <c r="B6" s="11" t="n">
        <v>46123</v>
      </c>
      <c r="C6" s="10" t="inlineStr">
        <is>
          <t>Tháng 04/2026</t>
        </is>
      </c>
      <c r="D6" s="5" t="inlineStr">
        <is>
          <t>Ban Quản lý Dự án Đầu tư &amp; Hạ tầng</t>
        </is>
      </c>
      <c r="E6" s="5" t="inlineStr">
        <is>
          <t>Đinh Quốc Huy</t>
        </is>
      </c>
      <c r="F6" s="5" t="inlineStr">
        <is>
          <t>Thanh quyết toán &amp; Giải ngân Dự án</t>
        </is>
      </c>
      <c r="G6" s="10" t="inlineStr">
        <is>
          <t>Định kỳ (Thấp)</t>
        </is>
      </c>
      <c r="H6" s="5" t="inlineStr">
        <is>
          <t>Phần mềm Quản lý (E-Office)</t>
        </is>
      </c>
      <c r="I6" s="12" t="n">
        <v>33</v>
      </c>
      <c r="J6" s="12" t="n">
        <v>25</v>
      </c>
      <c r="K6" s="13">
        <f>J6/I6</f>
        <v/>
      </c>
      <c r="L6" s="12" t="n">
        <v>412000000</v>
      </c>
      <c r="M6" s="12" t="n">
        <v>425200000</v>
      </c>
      <c r="N6" s="13">
        <f>M6/L6</f>
        <v/>
      </c>
      <c r="O6" s="12">
        <f>L6-M6</f>
        <v/>
      </c>
      <c r="P6" s="12" t="n">
        <v>54</v>
      </c>
      <c r="Q6" s="10" t="inlineStr">
        <is>
          <t>Quá hạn xử lý</t>
        </is>
      </c>
      <c r="R6" s="10">
        <f>IF(OR(K6&lt;0.75, N6&gt;1.0, Q6="Quá hạn xử lý"), "Rủi ro Cao (Cần xử lý)", IF(K6&lt;0.88, "Rủi ro Trung bình", "An toàn / Tốt"))</f>
        <v/>
      </c>
    </row>
    <row r="7">
      <c r="A7" s="14" t="inlineStr">
        <is>
          <t>NV-004</t>
        </is>
      </c>
      <c r="B7" s="15" t="n">
        <v>46140</v>
      </c>
      <c r="C7" s="14" t="inlineStr">
        <is>
          <t>Tháng 04/2026</t>
        </is>
      </c>
      <c r="D7" s="16" t="inlineStr">
        <is>
          <t>Phòng Kế hoạch - Tài chính</t>
        </is>
      </c>
      <c r="E7" s="16" t="inlineStr">
        <is>
          <t>Đặng Quốc Khánh</t>
        </is>
      </c>
      <c r="F7" s="16" t="inlineStr">
        <is>
          <t>Thanh quyết toán &amp; Giải ngân Dự án</t>
        </is>
      </c>
      <c r="G7" s="14" t="inlineStr">
        <is>
          <t>Khẩn cấp (Cao)</t>
        </is>
      </c>
      <c r="H7" s="16" t="inlineStr">
        <is>
          <t>Xử lý Thủ công (Hồ sơ giấy)</t>
        </is>
      </c>
      <c r="I7" s="17" t="n">
        <v>58</v>
      </c>
      <c r="J7" s="17" t="n">
        <v>31</v>
      </c>
      <c r="K7" s="18">
        <f>J7/I7</f>
        <v/>
      </c>
      <c r="L7" s="17" t="n">
        <v>128500000</v>
      </c>
      <c r="M7" s="17" t="n">
        <v>94700000</v>
      </c>
      <c r="N7" s="18">
        <f>M7/L7</f>
        <v/>
      </c>
      <c r="O7" s="17">
        <f>L7-M7</f>
        <v/>
      </c>
      <c r="P7" s="17" t="n">
        <v>174</v>
      </c>
      <c r="Q7" s="14" t="inlineStr">
        <is>
          <t>Quá hạn xử lý</t>
        </is>
      </c>
      <c r="R7" s="14">
        <f>IF(OR(K7&lt;0.75, N7&gt;1.0, Q7="Quá hạn xử lý"), "Rủi ro Cao (Cần xử lý)", IF(K7&lt;0.88, "Rủi ro Trung bình", "An toàn / Tốt"))</f>
        <v/>
      </c>
    </row>
    <row r="8">
      <c r="A8" s="10" t="inlineStr">
        <is>
          <t>NV-005</t>
        </is>
      </c>
      <c r="B8" s="11" t="n">
        <v>46078</v>
      </c>
      <c r="C8" s="10" t="inlineStr">
        <is>
          <t>Tháng 02/2026</t>
        </is>
      </c>
      <c r="D8" s="5" t="inlineStr">
        <is>
          <t>Văn phòng &amp; Hành chính Tổng hợp</t>
        </is>
      </c>
      <c r="E8" s="5" t="inlineStr">
        <is>
          <t>Lê Hoàng Nam</t>
        </is>
      </c>
      <c r="F8" s="5" t="inlineStr">
        <is>
          <t>Soạn thảo &amp; Ban hành Văn bản điều hành</t>
        </is>
      </c>
      <c r="G8" s="10" t="inlineStr">
        <is>
          <t>Khẩn cấp (Cao)</t>
        </is>
      </c>
      <c r="H8" s="5" t="inlineStr">
        <is>
          <t>Tự động hóa bằng AI Agent</t>
        </is>
      </c>
      <c r="I8" s="12" t="n">
        <v>105</v>
      </c>
      <c r="J8" s="12" t="n">
        <v>99</v>
      </c>
      <c r="K8" s="13">
        <f>J8/I8</f>
        <v/>
      </c>
      <c r="L8" s="12" t="n">
        <v>115000000</v>
      </c>
      <c r="M8" s="12" t="n">
        <v>86700000</v>
      </c>
      <c r="N8" s="13">
        <f>M8/L8</f>
        <v/>
      </c>
      <c r="O8" s="12">
        <f>L8-M8</f>
        <v/>
      </c>
      <c r="P8" s="12" t="n">
        <v>90</v>
      </c>
      <c r="Q8" s="10" t="inlineStr">
        <is>
          <t>Hoàn thành</t>
        </is>
      </c>
      <c r="R8" s="10">
        <f>IF(OR(K8&lt;0.75, N8&gt;1.0, Q8="Quá hạn xử lý"), "Rủi ro Cao (Cần xử lý)", IF(K8&lt;0.88, "Rủi ro Trung bình", "An toàn / Tốt"))</f>
        <v/>
      </c>
    </row>
    <row r="9">
      <c r="A9" s="14" t="inlineStr">
        <is>
          <t>NV-006</t>
        </is>
      </c>
      <c r="B9" s="15" t="n">
        <v>46104</v>
      </c>
      <c r="C9" s="14" t="inlineStr">
        <is>
          <t>Tháng 03/2026</t>
        </is>
      </c>
      <c r="D9" s="16" t="inlineStr">
        <is>
          <t>Phòng Tổ chức - Nhân sự &amp; Đào tạo</t>
        </is>
      </c>
      <c r="E9" s="16" t="inlineStr">
        <is>
          <t>Đỗ Thị Thu Hà</t>
        </is>
      </c>
      <c r="F9" s="16" t="inlineStr">
        <is>
          <t>Triển khai Hạ tầng &amp; Phần mềm AI nội bộ</t>
        </is>
      </c>
      <c r="G9" s="14" t="inlineStr">
        <is>
          <t>Khẩn cấp (Cao)</t>
        </is>
      </c>
      <c r="H9" s="16" t="inlineStr">
        <is>
          <t>Phần mềm Quản lý (E-Office)</t>
        </is>
      </c>
      <c r="I9" s="17" t="n">
        <v>39</v>
      </c>
      <c r="J9" s="17" t="n">
        <v>31</v>
      </c>
      <c r="K9" s="18">
        <f>J9/I9</f>
        <v/>
      </c>
      <c r="L9" s="17" t="n">
        <v>139500000</v>
      </c>
      <c r="M9" s="17" t="n">
        <v>106800000</v>
      </c>
      <c r="N9" s="18">
        <f>M9/L9</f>
        <v/>
      </c>
      <c r="O9" s="17">
        <f>L9-M9</f>
        <v/>
      </c>
      <c r="P9" s="17" t="n">
        <v>66</v>
      </c>
      <c r="Q9" s="14" t="inlineStr">
        <is>
          <t>Hoàn thành</t>
        </is>
      </c>
      <c r="R9" s="14">
        <f>IF(OR(K9&lt;0.75, N9&gt;1.0, Q9="Quá hạn xử lý"), "Rủi ro Cao (Cần xử lý)", IF(K9&lt;0.88, "Rủi ro Trung bình", "An toàn / Tốt"))</f>
        <v/>
      </c>
    </row>
    <row r="10">
      <c r="A10" s="10" t="inlineStr">
        <is>
          <t>NV-007</t>
        </is>
      </c>
      <c r="B10" s="11" t="n">
        <v>46046</v>
      </c>
      <c r="C10" s="10" t="inlineStr">
        <is>
          <t>Tháng 01/2026</t>
        </is>
      </c>
      <c r="D10" s="5" t="inlineStr">
        <is>
          <t>Phòng Tổ chức - Nhân sự &amp; Đào tạo</t>
        </is>
      </c>
      <c r="E10" s="5" t="inlineStr">
        <is>
          <t>Đỗ Thị Thu Hà</t>
        </is>
      </c>
      <c r="F10" s="5" t="inlineStr">
        <is>
          <t>Thẩm định Hồ sơ đấu thầu &amp; Mua sắm</t>
        </is>
      </c>
      <c r="G10" s="10" t="inlineStr">
        <is>
          <t>Khẩn cấp (Cao)</t>
        </is>
      </c>
      <c r="H10" s="5" t="inlineStr">
        <is>
          <t>Bán tự động (Excel + Biểu mẫu)</t>
        </is>
      </c>
      <c r="I10" s="12" t="n">
        <v>106</v>
      </c>
      <c r="J10" s="12" t="n">
        <v>78</v>
      </c>
      <c r="K10" s="13">
        <f>J10/I10</f>
        <v/>
      </c>
      <c r="L10" s="12" t="n">
        <v>160500000</v>
      </c>
      <c r="M10" s="12" t="n">
        <v>138200000</v>
      </c>
      <c r="N10" s="13">
        <f>M10/L10</f>
        <v/>
      </c>
      <c r="O10" s="12">
        <f>L10-M10</f>
        <v/>
      </c>
      <c r="P10" s="12" t="n">
        <v>261</v>
      </c>
      <c r="Q10" s="10" t="inlineStr">
        <is>
          <t>Hoàn thành</t>
        </is>
      </c>
      <c r="R10" s="10">
        <f>IF(OR(K10&lt;0.75, N10&gt;1.0, Q10="Quá hạn xử lý"), "Rủi ro Cao (Cần xử lý)", IF(K10&lt;0.88, "Rủi ro Trung bình", "An toàn / Tốt"))</f>
        <v/>
      </c>
    </row>
    <row r="11">
      <c r="A11" s="14" t="inlineStr">
        <is>
          <t>NV-008</t>
        </is>
      </c>
      <c r="B11" s="15" t="n">
        <v>46036</v>
      </c>
      <c r="C11" s="14" t="inlineStr">
        <is>
          <t>Tháng 01/2026</t>
        </is>
      </c>
      <c r="D11" s="16" t="inlineStr">
        <is>
          <t>Trung tâm Công nghệ &amp; Chuyển đổi số</t>
        </is>
      </c>
      <c r="E11" s="16" t="inlineStr">
        <is>
          <t>Bùi Thanh Tùng</t>
        </is>
      </c>
      <c r="F11" s="16" t="inlineStr">
        <is>
          <t>Thanh quyết toán &amp; Giải ngân Dự án</t>
        </is>
      </c>
      <c r="G11" s="14" t="inlineStr">
        <is>
          <t>Quan trọng (Trung bình)</t>
        </is>
      </c>
      <c r="H11" s="16" t="inlineStr">
        <is>
          <t>Xử lý Thủ công (Hồ sơ giấy)</t>
        </is>
      </c>
      <c r="I11" s="17" t="n">
        <v>19</v>
      </c>
      <c r="J11" s="17" t="n">
        <v>10</v>
      </c>
      <c r="K11" s="18">
        <f>J11/I11</f>
        <v/>
      </c>
      <c r="L11" s="17" t="n">
        <v>221500000</v>
      </c>
      <c r="M11" s="17" t="n">
        <v>171000000</v>
      </c>
      <c r="N11" s="18">
        <f>M11/L11</f>
        <v/>
      </c>
      <c r="O11" s="17">
        <f>L11-M11</f>
        <v/>
      </c>
      <c r="P11" s="17" t="n">
        <v>62</v>
      </c>
      <c r="Q11" s="14" t="inlineStr">
        <is>
          <t>Quá hạn xử lý</t>
        </is>
      </c>
      <c r="R11" s="14">
        <f>IF(OR(K11&lt;0.75, N11&gt;1.0, Q11="Quá hạn xử lý"), "Rủi ro Cao (Cần xử lý)", IF(K11&lt;0.88, "Rủi ro Trung bình", "An toàn / Tốt"))</f>
        <v/>
      </c>
    </row>
    <row r="12">
      <c r="A12" s="10" t="inlineStr">
        <is>
          <t>NV-009</t>
        </is>
      </c>
      <c r="B12" s="11" t="n">
        <v>46116</v>
      </c>
      <c r="C12" s="10" t="inlineStr">
        <is>
          <t>Tháng 04/2026</t>
        </is>
      </c>
      <c r="D12" s="5" t="inlineStr">
        <is>
          <t>Ban Quản lý Dự án Đầu tư &amp; Hạ tầng</t>
        </is>
      </c>
      <c r="E12" s="5" t="inlineStr">
        <is>
          <t>Võ Đình Trọng</t>
        </is>
      </c>
      <c r="F12" s="5" t="inlineStr">
        <is>
          <t>Thanh quyết toán &amp; Giải ngân Dự án</t>
        </is>
      </c>
      <c r="G12" s="10" t="inlineStr">
        <is>
          <t>Quan trọng (Trung bình)</t>
        </is>
      </c>
      <c r="H12" s="5" t="inlineStr">
        <is>
          <t>Bán tự động (Excel + Biểu mẫu)</t>
        </is>
      </c>
      <c r="I12" s="12" t="n">
        <v>41</v>
      </c>
      <c r="J12" s="12" t="n">
        <v>32</v>
      </c>
      <c r="K12" s="13">
        <f>J12/I12</f>
        <v/>
      </c>
      <c r="L12" s="12" t="n">
        <v>556000000</v>
      </c>
      <c r="M12" s="12" t="n">
        <v>484400000</v>
      </c>
      <c r="N12" s="13">
        <f>M12/L12</f>
        <v/>
      </c>
      <c r="O12" s="12">
        <f>L12-M12</f>
        <v/>
      </c>
      <c r="P12" s="12" t="n">
        <v>58</v>
      </c>
      <c r="Q12" s="10" t="inlineStr">
        <is>
          <t>Hoàn thành</t>
        </is>
      </c>
      <c r="R12" s="10">
        <f>IF(OR(K12&lt;0.75, N12&gt;1.0, Q12="Quá hạn xử lý"), "Rủi ro Cao (Cần xử lý)", IF(K12&lt;0.88, "Rủi ro Trung bình", "An toàn / Tốt"))</f>
        <v/>
      </c>
    </row>
    <row r="13">
      <c r="A13" s="14" t="inlineStr">
        <is>
          <t>NV-010</t>
        </is>
      </c>
      <c r="B13" s="15" t="n">
        <v>46098</v>
      </c>
      <c r="C13" s="14" t="inlineStr">
        <is>
          <t>Tháng 03/2026</t>
        </is>
      </c>
      <c r="D13" s="16" t="inlineStr">
        <is>
          <t>Trung tâm Công nghệ &amp; Chuyển đổi số</t>
        </is>
      </c>
      <c r="E13" s="16" t="inlineStr">
        <is>
          <t>Ngô Phương Linh</t>
        </is>
      </c>
      <c r="F13" s="16" t="inlineStr">
        <is>
          <t>Thanh quyết toán &amp; Giải ngân Dự án</t>
        </is>
      </c>
      <c r="G13" s="14" t="inlineStr">
        <is>
          <t>Quan trọng (Trung bình)</t>
        </is>
      </c>
      <c r="H13" s="16" t="inlineStr">
        <is>
          <t>Bán tự động (Excel + Biểu mẫu)</t>
        </is>
      </c>
      <c r="I13" s="17" t="n">
        <v>39</v>
      </c>
      <c r="J13" s="17" t="n">
        <v>28</v>
      </c>
      <c r="K13" s="18">
        <f>J13/I13</f>
        <v/>
      </c>
      <c r="L13" s="17" t="n">
        <v>498000000</v>
      </c>
      <c r="M13" s="17" t="n">
        <v>471400000</v>
      </c>
      <c r="N13" s="18">
        <f>M13/L13</f>
        <v/>
      </c>
      <c r="O13" s="17">
        <f>L13-M13</f>
        <v/>
      </c>
      <c r="P13" s="17" t="n">
        <v>110</v>
      </c>
      <c r="Q13" s="14" t="inlineStr">
        <is>
          <t>Hoàn thành</t>
        </is>
      </c>
      <c r="R13" s="14">
        <f>IF(OR(K13&lt;0.75, N13&gt;1.0, Q13="Quá hạn xử lý"), "Rủi ro Cao (Cần xử lý)", IF(K13&lt;0.88, "Rủi ro Trung bình", "An toàn / Tốt"))</f>
        <v/>
      </c>
    </row>
    <row r="14">
      <c r="A14" s="10" t="inlineStr">
        <is>
          <t>NV-011</t>
        </is>
      </c>
      <c r="B14" s="11" t="n">
        <v>46116</v>
      </c>
      <c r="C14" s="10" t="inlineStr">
        <is>
          <t>Tháng 04/2026</t>
        </is>
      </c>
      <c r="D14" s="5" t="inlineStr">
        <is>
          <t>Phòng Tổ chức - Nhân sự &amp; Đào tạo</t>
        </is>
      </c>
      <c r="E14" s="5" t="inlineStr">
        <is>
          <t>Đỗ Thị Thu Hà</t>
        </is>
      </c>
      <c r="F14" s="5" t="inlineStr">
        <is>
          <t>Thẩm định Hồ sơ đấu thầu &amp; Mua sắm</t>
        </is>
      </c>
      <c r="G14" s="10" t="inlineStr">
        <is>
          <t>Quan trọng (Trung bình)</t>
        </is>
      </c>
      <c r="H14" s="5" t="inlineStr">
        <is>
          <t>Phần mềm Quản lý (E-Office)</t>
        </is>
      </c>
      <c r="I14" s="12" t="n">
        <v>43</v>
      </c>
      <c r="J14" s="12" t="n">
        <v>40</v>
      </c>
      <c r="K14" s="13">
        <f>J14/I14</f>
        <v/>
      </c>
      <c r="L14" s="12" t="n">
        <v>120500000</v>
      </c>
      <c r="M14" s="12" t="n">
        <v>126100000</v>
      </c>
      <c r="N14" s="13">
        <f>M14/L14</f>
        <v/>
      </c>
      <c r="O14" s="12">
        <f>L14-M14</f>
        <v/>
      </c>
      <c r="P14" s="12" t="n">
        <v>58</v>
      </c>
      <c r="Q14" s="10" t="inlineStr">
        <is>
          <t>Quá hạn xử lý</t>
        </is>
      </c>
      <c r="R14" s="10">
        <f>IF(OR(K14&lt;0.75, N14&gt;1.0, Q14="Quá hạn xử lý"), "Rủi ro Cao (Cần xử lý)", IF(K14&lt;0.88, "Rủi ro Trung bình", "An toàn / Tốt"))</f>
        <v/>
      </c>
    </row>
    <row r="15">
      <c r="A15" s="14" t="inlineStr">
        <is>
          <t>NV-012</t>
        </is>
      </c>
      <c r="B15" s="15" t="n">
        <v>46174</v>
      </c>
      <c r="C15" s="14" t="inlineStr">
        <is>
          <t>Tháng 06/2026</t>
        </is>
      </c>
      <c r="D15" s="16" t="inlineStr">
        <is>
          <t>Phòng Tổ chức - Nhân sự &amp; Đào tạo</t>
        </is>
      </c>
      <c r="E15" s="16" t="inlineStr">
        <is>
          <t>Lý Minh Khôi</t>
        </is>
      </c>
      <c r="F15" s="16" t="inlineStr">
        <is>
          <t>Tổ chức Hội nghị, Tập huấn &amp; Đào tạo</t>
        </is>
      </c>
      <c r="G15" s="14" t="inlineStr">
        <is>
          <t>Khẩn cấp (Cao)</t>
        </is>
      </c>
      <c r="H15" s="16" t="inlineStr">
        <is>
          <t>Phần mềm Quản lý (E-Office)</t>
        </is>
      </c>
      <c r="I15" s="17" t="n">
        <v>44</v>
      </c>
      <c r="J15" s="17" t="n">
        <v>38</v>
      </c>
      <c r="K15" s="18">
        <f>J15/I15</f>
        <v/>
      </c>
      <c r="L15" s="17" t="n">
        <v>28500000</v>
      </c>
      <c r="M15" s="17" t="n">
        <v>30500000</v>
      </c>
      <c r="N15" s="18">
        <f>M15/L15</f>
        <v/>
      </c>
      <c r="O15" s="17">
        <f>L15-M15</f>
        <v/>
      </c>
      <c r="P15" s="17" t="n">
        <v>70</v>
      </c>
      <c r="Q15" s="14" t="inlineStr">
        <is>
          <t>Quá hạn xử lý</t>
        </is>
      </c>
      <c r="R15" s="14">
        <f>IF(OR(K15&lt;0.75, N15&gt;1.0, Q15="Quá hạn xử lý"), "Rủi ro Cao (Cần xử lý)", IF(K15&lt;0.88, "Rủi ro Trung bình", "An toàn / Tốt"))</f>
        <v/>
      </c>
    </row>
    <row r="16">
      <c r="A16" s="10" t="inlineStr">
        <is>
          <t>NV-013</t>
        </is>
      </c>
      <c r="B16" s="11" t="n">
        <v>46061</v>
      </c>
      <c r="C16" s="10" t="inlineStr">
        <is>
          <t>Tháng 02/2026</t>
        </is>
      </c>
      <c r="D16" s="5" t="inlineStr">
        <is>
          <t>Trung tâm Công nghệ &amp; Chuyển đổi số</t>
        </is>
      </c>
      <c r="E16" s="5" t="inlineStr">
        <is>
          <t>Bùi Thanh Tùng</t>
        </is>
      </c>
      <c r="F16" s="5" t="inlineStr">
        <is>
          <t>Triển khai Hạ tầng &amp; Phần mềm AI nội bộ</t>
        </is>
      </c>
      <c r="G16" s="10" t="inlineStr">
        <is>
          <t>Quan trọng (Trung bình)</t>
        </is>
      </c>
      <c r="H16" s="5" t="inlineStr">
        <is>
          <t>Tự động hóa bằng AI Agent</t>
        </is>
      </c>
      <c r="I16" s="12" t="n">
        <v>72</v>
      </c>
      <c r="J16" s="12" t="n">
        <v>63</v>
      </c>
      <c r="K16" s="13">
        <f>J16/I16</f>
        <v/>
      </c>
      <c r="L16" s="12" t="n">
        <v>550000000</v>
      </c>
      <c r="M16" s="12" t="n">
        <v>372800000</v>
      </c>
      <c r="N16" s="13">
        <f>M16/L16</f>
        <v/>
      </c>
      <c r="O16" s="12">
        <f>L16-M16</f>
        <v/>
      </c>
      <c r="P16" s="12" t="n">
        <v>65</v>
      </c>
      <c r="Q16" s="10" t="inlineStr">
        <is>
          <t>Hoàn thành</t>
        </is>
      </c>
      <c r="R16" s="10">
        <f>IF(OR(K16&lt;0.75, N16&gt;1.0, Q16="Quá hạn xử lý"), "Rủi ro Cao (Cần xử lý)", IF(K16&lt;0.88, "Rủi ro Trung bình", "An toàn / Tốt"))</f>
        <v/>
      </c>
    </row>
    <row r="17">
      <c r="A17" s="14" t="inlineStr">
        <is>
          <t>NV-014</t>
        </is>
      </c>
      <c r="B17" s="15" t="n">
        <v>46169</v>
      </c>
      <c r="C17" s="14" t="inlineStr">
        <is>
          <t>Tháng 05/2026</t>
        </is>
      </c>
      <c r="D17" s="16" t="inlineStr">
        <is>
          <t>Trung tâm Công nghệ &amp; Chuyển đổi số</t>
        </is>
      </c>
      <c r="E17" s="16" t="inlineStr">
        <is>
          <t>Bùi Thanh Tùng</t>
        </is>
      </c>
      <c r="F17" s="16" t="inlineStr">
        <is>
          <t>Triển khai Hạ tầng &amp; Phần mềm AI nội bộ</t>
        </is>
      </c>
      <c r="G17" s="14" t="inlineStr">
        <is>
          <t>Quan trọng (Trung bình)</t>
        </is>
      </c>
      <c r="H17" s="16" t="inlineStr">
        <is>
          <t>Phần mềm Quản lý (E-Office)</t>
        </is>
      </c>
      <c r="I17" s="17" t="n">
        <v>19</v>
      </c>
      <c r="J17" s="17" t="n">
        <v>15</v>
      </c>
      <c r="K17" s="18">
        <f>J17/I17</f>
        <v/>
      </c>
      <c r="L17" s="17" t="n">
        <v>355000000</v>
      </c>
      <c r="M17" s="17" t="n">
        <v>357300000</v>
      </c>
      <c r="N17" s="18">
        <f>M17/L17</f>
        <v/>
      </c>
      <c r="O17" s="17">
        <f>L17-M17</f>
        <v/>
      </c>
      <c r="P17" s="17" t="n">
        <v>25</v>
      </c>
      <c r="Q17" s="14" t="inlineStr">
        <is>
          <t>Hoàn thành</t>
        </is>
      </c>
      <c r="R17" s="14">
        <f>IF(OR(K17&lt;0.75, N17&gt;1.0, Q17="Quá hạn xử lý"), "Rủi ro Cao (Cần xử lý)", IF(K17&lt;0.88, "Rủi ro Trung bình", "An toàn / Tốt"))</f>
        <v/>
      </c>
    </row>
    <row r="18">
      <c r="A18" s="10" t="inlineStr">
        <is>
          <t>NV-015</t>
        </is>
      </c>
      <c r="B18" s="11" t="n">
        <v>46025</v>
      </c>
      <c r="C18" s="10" t="inlineStr">
        <is>
          <t>Tháng 01/2026</t>
        </is>
      </c>
      <c r="D18" s="5" t="inlineStr">
        <is>
          <t>Phòng Pháp chế &amp; Kiểm soát nội bộ</t>
        </is>
      </c>
      <c r="E18" s="5" t="inlineStr">
        <is>
          <t>Phan Thanh Thảo</t>
        </is>
      </c>
      <c r="F18" s="5" t="inlineStr">
        <is>
          <t>Tổ chức Hội nghị, Tập huấn &amp; Đào tạo</t>
        </is>
      </c>
      <c r="G18" s="10" t="inlineStr">
        <is>
          <t>Quan trọng (Trung bình)</t>
        </is>
      </c>
      <c r="H18" s="5" t="inlineStr">
        <is>
          <t>Bán tự động (Excel + Biểu mẫu)</t>
        </is>
      </c>
      <c r="I18" s="12" t="n">
        <v>63</v>
      </c>
      <c r="J18" s="12" t="n">
        <v>45</v>
      </c>
      <c r="K18" s="13">
        <f>J18/I18</f>
        <v/>
      </c>
      <c r="L18" s="12" t="n">
        <v>151000000</v>
      </c>
      <c r="M18" s="12" t="n">
        <v>120300000</v>
      </c>
      <c r="N18" s="13">
        <f>M18/L18</f>
        <v/>
      </c>
      <c r="O18" s="12">
        <f>L18-M18</f>
        <v/>
      </c>
      <c r="P18" s="12" t="n">
        <v>137</v>
      </c>
      <c r="Q18" s="10" t="inlineStr">
        <is>
          <t>Đang thực hiện</t>
        </is>
      </c>
      <c r="R18" s="10">
        <f>IF(OR(K18&lt;0.75, N18&gt;1.0, Q18="Quá hạn xử lý"), "Rủi ro Cao (Cần xử lý)", IF(K18&lt;0.88, "Rủi ro Trung bình", "An toàn / Tốt"))</f>
        <v/>
      </c>
    </row>
    <row r="19">
      <c r="A19" s="14" t="inlineStr">
        <is>
          <t>NV-016</t>
        </is>
      </c>
      <c r="B19" s="15" t="n">
        <v>46175</v>
      </c>
      <c r="C19" s="14" t="inlineStr">
        <is>
          <t>Tháng 06/2026</t>
        </is>
      </c>
      <c r="D19" s="16" t="inlineStr">
        <is>
          <t>Phòng Tổ chức - Nhân sự &amp; Đào tạo</t>
        </is>
      </c>
      <c r="E19" s="16" t="inlineStr">
        <is>
          <t>Lý Minh Khôi</t>
        </is>
      </c>
      <c r="F19" s="16" t="inlineStr">
        <is>
          <t>Tổ chức Hội nghị, Tập huấn &amp; Đào tạo</t>
        </is>
      </c>
      <c r="G19" s="14" t="inlineStr">
        <is>
          <t>Định kỳ (Thấp)</t>
        </is>
      </c>
      <c r="H19" s="16" t="inlineStr">
        <is>
          <t>Phần mềm Quản lý (E-Office)</t>
        </is>
      </c>
      <c r="I19" s="17" t="n">
        <v>26</v>
      </c>
      <c r="J19" s="17" t="n">
        <v>21</v>
      </c>
      <c r="K19" s="18">
        <f>J19/I19</f>
        <v/>
      </c>
      <c r="L19" s="17" t="n">
        <v>120000000</v>
      </c>
      <c r="M19" s="17" t="n">
        <v>119100000</v>
      </c>
      <c r="N19" s="18">
        <f>M19/L19</f>
        <v/>
      </c>
      <c r="O19" s="17">
        <f>L19-M19</f>
        <v/>
      </c>
      <c r="P19" s="17" t="n">
        <v>61</v>
      </c>
      <c r="Q19" s="14" t="inlineStr">
        <is>
          <t>Đang thực hiện</t>
        </is>
      </c>
      <c r="R19" s="14">
        <f>IF(OR(K19&lt;0.75, N19&gt;1.0, Q19="Quá hạn xử lý"), "Rủi ro Cao (Cần xử lý)", IF(K19&lt;0.88, "Rủi ro Trung bình", "An toàn / Tốt"))</f>
        <v/>
      </c>
    </row>
    <row r="20">
      <c r="A20" s="10" t="inlineStr">
        <is>
          <t>NV-017</t>
        </is>
      </c>
      <c r="B20" s="11" t="n">
        <v>46103</v>
      </c>
      <c r="C20" s="10" t="inlineStr">
        <is>
          <t>Tháng 03/2026</t>
        </is>
      </c>
      <c r="D20" s="5" t="inlineStr">
        <is>
          <t>Phòng Kế hoạch - Tài chính</t>
        </is>
      </c>
      <c r="E20" s="5" t="inlineStr">
        <is>
          <t>Đặng Quốc Khánh</t>
        </is>
      </c>
      <c r="F20" s="5" t="inlineStr">
        <is>
          <t>Thẩm định Hồ sơ đấu thầu &amp; Mua sắm</t>
        </is>
      </c>
      <c r="G20" s="10" t="inlineStr">
        <is>
          <t>Quan trọng (Trung bình)</t>
        </is>
      </c>
      <c r="H20" s="5" t="inlineStr">
        <is>
          <t>Xử lý Thủ công (Hồ sơ giấy)</t>
        </is>
      </c>
      <c r="I20" s="12" t="n">
        <v>57</v>
      </c>
      <c r="J20" s="12" t="n">
        <v>36</v>
      </c>
      <c r="K20" s="13">
        <f>J20/I20</f>
        <v/>
      </c>
      <c r="L20" s="12" t="n">
        <v>243000000</v>
      </c>
      <c r="M20" s="12" t="n">
        <v>235000000</v>
      </c>
      <c r="N20" s="13">
        <f>M20/L20</f>
        <v/>
      </c>
      <c r="O20" s="12">
        <f>L20-M20</f>
        <v/>
      </c>
      <c r="P20" s="12" t="n">
        <v>198</v>
      </c>
      <c r="Q20" s="10" t="inlineStr">
        <is>
          <t>Đang thực hiện</t>
        </is>
      </c>
      <c r="R20" s="10">
        <f>IF(OR(K20&lt;0.75, N20&gt;1.0, Q20="Quá hạn xử lý"), "Rủi ro Cao (Cần xử lý)", IF(K20&lt;0.88, "Rủi ro Trung bình", "An toàn / Tốt"))</f>
        <v/>
      </c>
    </row>
    <row r="21">
      <c r="A21" s="14" t="inlineStr">
        <is>
          <t>NV-018</t>
        </is>
      </c>
      <c r="B21" s="15" t="n">
        <v>46158</v>
      </c>
      <c r="C21" s="14" t="inlineStr">
        <is>
          <t>Tháng 05/2026</t>
        </is>
      </c>
      <c r="D21" s="16" t="inlineStr">
        <is>
          <t>Phòng Kế hoạch - Tài chính</t>
        </is>
      </c>
      <c r="E21" s="16" t="inlineStr">
        <is>
          <t>Vũ Thị Lan</t>
        </is>
      </c>
      <c r="F21" s="16" t="inlineStr">
        <is>
          <t>Thanh quyết toán &amp; Giải ngân Dự án</t>
        </is>
      </c>
      <c r="G21" s="14" t="inlineStr">
        <is>
          <t>Quan trọng (Trung bình)</t>
        </is>
      </c>
      <c r="H21" s="16" t="inlineStr">
        <is>
          <t>Phần mềm Quản lý (E-Office)</t>
        </is>
      </c>
      <c r="I21" s="17" t="n">
        <v>105</v>
      </c>
      <c r="J21" s="17" t="n">
        <v>81</v>
      </c>
      <c r="K21" s="18">
        <f>J21/I21</f>
        <v/>
      </c>
      <c r="L21" s="17" t="n">
        <v>248500000</v>
      </c>
      <c r="M21" s="17" t="n">
        <v>248900000</v>
      </c>
      <c r="N21" s="18">
        <f>M21/L21</f>
        <v/>
      </c>
      <c r="O21" s="17">
        <f>L21-M21</f>
        <v/>
      </c>
      <c r="P21" s="17" t="n">
        <v>154</v>
      </c>
      <c r="Q21" s="14" t="inlineStr">
        <is>
          <t>Đang thực hiện</t>
        </is>
      </c>
      <c r="R21" s="14">
        <f>IF(OR(K21&lt;0.75, N21&gt;1.0, Q21="Quá hạn xử lý"), "Rủi ro Cao (Cần xử lý)", IF(K21&lt;0.88, "Rủi ro Trung bình", "An toàn / Tốt"))</f>
        <v/>
      </c>
    </row>
    <row r="22">
      <c r="A22" s="10" t="inlineStr">
        <is>
          <t>NV-019</t>
        </is>
      </c>
      <c r="B22" s="11" t="n">
        <v>46057</v>
      </c>
      <c r="C22" s="10" t="inlineStr">
        <is>
          <t>Tháng 02/2026</t>
        </is>
      </c>
      <c r="D22" s="5" t="inlineStr">
        <is>
          <t>Phòng Tổ chức - Nhân sự &amp; Đào tạo</t>
        </is>
      </c>
      <c r="E22" s="5" t="inlineStr">
        <is>
          <t>Đỗ Thị Thu Hà</t>
        </is>
      </c>
      <c r="F22" s="5" t="inlineStr">
        <is>
          <t>Tổ chức Hội nghị, Tập huấn &amp; Đào tạo</t>
        </is>
      </c>
      <c r="G22" s="10" t="inlineStr">
        <is>
          <t>Khẩn cấp (Cao)</t>
        </is>
      </c>
      <c r="H22" s="5" t="inlineStr">
        <is>
          <t>Xử lý Thủ công (Hồ sơ giấy)</t>
        </is>
      </c>
      <c r="I22" s="12" t="n">
        <v>88</v>
      </c>
      <c r="J22" s="12" t="n">
        <v>57</v>
      </c>
      <c r="K22" s="13">
        <f>J22/I22</f>
        <v/>
      </c>
      <c r="L22" s="12" t="n">
        <v>133500000</v>
      </c>
      <c r="M22" s="12" t="n">
        <v>119700000</v>
      </c>
      <c r="N22" s="13">
        <f>M22/L22</f>
        <v/>
      </c>
      <c r="O22" s="12">
        <f>L22-M22</f>
        <v/>
      </c>
      <c r="P22" s="12" t="n">
        <v>257</v>
      </c>
      <c r="Q22" s="10" t="inlineStr">
        <is>
          <t>Quá hạn xử lý</t>
        </is>
      </c>
      <c r="R22" s="10">
        <f>IF(OR(K22&lt;0.75, N22&gt;1.0, Q22="Quá hạn xử lý"), "Rủi ro Cao (Cần xử lý)", IF(K22&lt;0.88, "Rủi ro Trung bình", "An toàn / Tốt"))</f>
        <v/>
      </c>
    </row>
    <row r="23">
      <c r="A23" s="14" t="inlineStr">
        <is>
          <t>NV-020</t>
        </is>
      </c>
      <c r="B23" s="15" t="n">
        <v>46154</v>
      </c>
      <c r="C23" s="14" t="inlineStr">
        <is>
          <t>Tháng 05/2026</t>
        </is>
      </c>
      <c r="D23" s="16" t="inlineStr">
        <is>
          <t>Phòng Kế hoạch - Tài chính</t>
        </is>
      </c>
      <c r="E23" s="16" t="inlineStr">
        <is>
          <t>Đặng Quốc Khánh</t>
        </is>
      </c>
      <c r="F23" s="16" t="inlineStr">
        <is>
          <t>Thanh quyết toán &amp; Giải ngân Dự án</t>
        </is>
      </c>
      <c r="G23" s="14" t="inlineStr">
        <is>
          <t>Khẩn cấp (Cao)</t>
        </is>
      </c>
      <c r="H23" s="16" t="inlineStr">
        <is>
          <t>Phần mềm Quản lý (E-Office)</t>
        </is>
      </c>
      <c r="I23" s="17" t="n">
        <v>69</v>
      </c>
      <c r="J23" s="17" t="n">
        <v>54</v>
      </c>
      <c r="K23" s="18">
        <f>J23/I23</f>
        <v/>
      </c>
      <c r="L23" s="17" t="n">
        <v>107000000</v>
      </c>
      <c r="M23" s="17" t="n">
        <v>94100000</v>
      </c>
      <c r="N23" s="18">
        <f>M23/L23</f>
        <v/>
      </c>
      <c r="O23" s="17">
        <f>L23-M23</f>
        <v/>
      </c>
      <c r="P23" s="17" t="n">
        <v>96</v>
      </c>
      <c r="Q23" s="14" t="inlineStr">
        <is>
          <t>Đang thực hiện</t>
        </is>
      </c>
      <c r="R23" s="14">
        <f>IF(OR(K23&lt;0.75, N23&gt;1.0, Q23="Quá hạn xử lý"), "Rủi ro Cao (Cần xử lý)", IF(K23&lt;0.88, "Rủi ro Trung bình", "An toàn / Tốt"))</f>
        <v/>
      </c>
    </row>
    <row r="24">
      <c r="A24" s="10" t="inlineStr">
        <is>
          <t>NV-021</t>
        </is>
      </c>
      <c r="B24" s="11" t="n">
        <v>46165</v>
      </c>
      <c r="C24" s="10" t="inlineStr">
        <is>
          <t>Tháng 05/2026</t>
        </is>
      </c>
      <c r="D24" s="5" t="inlineStr">
        <is>
          <t>Văn phòng &amp; Hành chính Tổng hợp</t>
        </is>
      </c>
      <c r="E24" s="5" t="inlineStr">
        <is>
          <t>Trần Thị Mai</t>
        </is>
      </c>
      <c r="F24" s="5" t="inlineStr">
        <is>
          <t>Tổ chức Hội nghị, Tập huấn &amp; Đào tạo</t>
        </is>
      </c>
      <c r="G24" s="10" t="inlineStr">
        <is>
          <t>Quan trọng (Trung bình)</t>
        </is>
      </c>
      <c r="H24" s="5" t="inlineStr">
        <is>
          <t>Tự động hóa bằng AI Agent</t>
        </is>
      </c>
      <c r="I24" s="12" t="n">
        <v>216</v>
      </c>
      <c r="J24" s="12" t="n">
        <v>210</v>
      </c>
      <c r="K24" s="13">
        <f>J24/I24</f>
        <v/>
      </c>
      <c r="L24" s="12" t="n">
        <v>81500000</v>
      </c>
      <c r="M24" s="12" t="n">
        <v>62500000</v>
      </c>
      <c r="N24" s="13">
        <f>M24/L24</f>
        <v/>
      </c>
      <c r="O24" s="12">
        <f>L24-M24</f>
        <v/>
      </c>
      <c r="P24" s="12" t="n">
        <v>185</v>
      </c>
      <c r="Q24" s="10" t="inlineStr">
        <is>
          <t>Hoàn thành</t>
        </is>
      </c>
      <c r="R24" s="10">
        <f>IF(OR(K24&lt;0.75, N24&gt;1.0, Q24="Quá hạn xử lý"), "Rủi ro Cao (Cần xử lý)", IF(K24&lt;0.88, "Rủi ro Trung bình", "An toàn / Tốt"))</f>
        <v/>
      </c>
    </row>
    <row r="25">
      <c r="A25" s="14" t="inlineStr">
        <is>
          <t>NV-022</t>
        </is>
      </c>
      <c r="B25" s="15" t="n">
        <v>46132</v>
      </c>
      <c r="C25" s="14" t="inlineStr">
        <is>
          <t>Tháng 04/2026</t>
        </is>
      </c>
      <c r="D25" s="16" t="inlineStr">
        <is>
          <t>Ban Quản lý Dự án Đầu tư &amp; Hạ tầng</t>
        </is>
      </c>
      <c r="E25" s="16" t="inlineStr">
        <is>
          <t>Đinh Quốc Huy</t>
        </is>
      </c>
      <c r="F25" s="16" t="inlineStr">
        <is>
          <t>Thẩm định Hồ sơ đấu thầu &amp; Mua sắm</t>
        </is>
      </c>
      <c r="G25" s="14" t="inlineStr">
        <is>
          <t>Quan trọng (Trung bình)</t>
        </is>
      </c>
      <c r="H25" s="16" t="inlineStr">
        <is>
          <t>Tự động hóa bằng AI Agent</t>
        </is>
      </c>
      <c r="I25" s="17" t="n">
        <v>36</v>
      </c>
      <c r="J25" s="17" t="n">
        <v>30</v>
      </c>
      <c r="K25" s="18">
        <f>J25/I25</f>
        <v/>
      </c>
      <c r="L25" s="17" t="n">
        <v>344500000</v>
      </c>
      <c r="M25" s="17" t="n">
        <v>335200000</v>
      </c>
      <c r="N25" s="18">
        <f>M25/L25</f>
        <v/>
      </c>
      <c r="O25" s="17">
        <f>L25-M25</f>
        <v/>
      </c>
      <c r="P25" s="17" t="n">
        <v>35</v>
      </c>
      <c r="Q25" s="14" t="inlineStr">
        <is>
          <t>Đang thực hiện</t>
        </is>
      </c>
      <c r="R25" s="14">
        <f>IF(OR(K25&lt;0.75, N25&gt;1.0, Q25="Quá hạn xử lý"), "Rủi ro Cao (Cần xử lý)", IF(K25&lt;0.88, "Rủi ro Trung bình", "An toàn / Tốt"))</f>
        <v/>
      </c>
    </row>
    <row r="26">
      <c r="A26" s="10" t="inlineStr">
        <is>
          <t>NV-023</t>
        </is>
      </c>
      <c r="B26" s="11" t="n">
        <v>46031</v>
      </c>
      <c r="C26" s="10" t="inlineStr">
        <is>
          <t>Tháng 01/2026</t>
        </is>
      </c>
      <c r="D26" s="5" t="inlineStr">
        <is>
          <t>Phòng Kế hoạch - Tài chính</t>
        </is>
      </c>
      <c r="E26" s="5" t="inlineStr">
        <is>
          <t>Phạm Minh Đức</t>
        </is>
      </c>
      <c r="F26" s="5" t="inlineStr">
        <is>
          <t>Thẩm định Hồ sơ đấu thầu &amp; Mua sắm</t>
        </is>
      </c>
      <c r="G26" s="10" t="inlineStr">
        <is>
          <t>Quan trọng (Trung bình)</t>
        </is>
      </c>
      <c r="H26" s="5" t="inlineStr">
        <is>
          <t>Tự động hóa bằng AI Agent</t>
        </is>
      </c>
      <c r="I26" s="12" t="n">
        <v>112</v>
      </c>
      <c r="J26" s="12" t="n">
        <v>105</v>
      </c>
      <c r="K26" s="13">
        <f>J26/I26</f>
        <v/>
      </c>
      <c r="L26" s="12" t="n">
        <v>335500000</v>
      </c>
      <c r="M26" s="12" t="n">
        <v>335200000</v>
      </c>
      <c r="N26" s="13">
        <f>M26/L26</f>
        <v/>
      </c>
      <c r="O26" s="12">
        <f>L26-M26</f>
        <v/>
      </c>
      <c r="P26" s="12" t="n">
        <v>93</v>
      </c>
      <c r="Q26" s="10" t="inlineStr">
        <is>
          <t>Hoàn thành</t>
        </is>
      </c>
      <c r="R26" s="10">
        <f>IF(OR(K26&lt;0.75, N26&gt;1.0, Q26="Quá hạn xử lý"), "Rủi ro Cao (Cần xử lý)", IF(K26&lt;0.88, "Rủi ro Trung bình", "An toàn / Tốt"))</f>
        <v/>
      </c>
    </row>
    <row r="27">
      <c r="A27" s="14" t="inlineStr">
        <is>
          <t>NV-024</t>
        </is>
      </c>
      <c r="B27" s="15" t="n">
        <v>46152</v>
      </c>
      <c r="C27" s="14" t="inlineStr">
        <is>
          <t>Tháng 05/2026</t>
        </is>
      </c>
      <c r="D27" s="16" t="inlineStr">
        <is>
          <t>Phòng Tổ chức - Nhân sự &amp; Đào tạo</t>
        </is>
      </c>
      <c r="E27" s="16" t="inlineStr">
        <is>
          <t>Lý Minh Khôi</t>
        </is>
      </c>
      <c r="F27" s="16" t="inlineStr">
        <is>
          <t>Triển khai Hạ tầng &amp; Phần mềm AI nội bộ</t>
        </is>
      </c>
      <c r="G27" s="14" t="inlineStr">
        <is>
          <t>Quan trọng (Trung bình)</t>
        </is>
      </c>
      <c r="H27" s="16" t="inlineStr">
        <is>
          <t>Xử lý Thủ công (Hồ sơ giấy)</t>
        </is>
      </c>
      <c r="I27" s="17" t="n">
        <v>56</v>
      </c>
      <c r="J27" s="17" t="n">
        <v>38</v>
      </c>
      <c r="K27" s="18">
        <f>J27/I27</f>
        <v/>
      </c>
      <c r="L27" s="17" t="n">
        <v>48500000</v>
      </c>
      <c r="M27" s="17" t="n">
        <v>44200000</v>
      </c>
      <c r="N27" s="18">
        <f>M27/L27</f>
        <v/>
      </c>
      <c r="O27" s="17">
        <f>L27-M27</f>
        <v/>
      </c>
      <c r="P27" s="17" t="n">
        <v>168</v>
      </c>
      <c r="Q27" s="14" t="inlineStr">
        <is>
          <t>Đang thực hiện</t>
        </is>
      </c>
      <c r="R27" s="14">
        <f>IF(OR(K27&lt;0.75, N27&gt;1.0, Q27="Quá hạn xử lý"), "Rủi ro Cao (Cần xử lý)", IF(K27&lt;0.88, "Rủi ro Trung bình", "An toàn / Tốt"))</f>
        <v/>
      </c>
    </row>
    <row r="28">
      <c r="A28" s="10" t="inlineStr">
        <is>
          <t>NV-025</t>
        </is>
      </c>
      <c r="B28" s="11" t="n">
        <v>46096</v>
      </c>
      <c r="C28" s="10" t="inlineStr">
        <is>
          <t>Tháng 03/2026</t>
        </is>
      </c>
      <c r="D28" s="5" t="inlineStr">
        <is>
          <t>Văn phòng &amp; Hành chính Tổng hợp</t>
        </is>
      </c>
      <c r="E28" s="5" t="inlineStr">
        <is>
          <t>Lê Hoàng Nam</t>
        </is>
      </c>
      <c r="F28" s="5" t="inlineStr">
        <is>
          <t>Tổ chức Hội nghị, Tập huấn &amp; Đào tạo</t>
        </is>
      </c>
      <c r="G28" s="10" t="inlineStr">
        <is>
          <t>Quan trọng (Trung bình)</t>
        </is>
      </c>
      <c r="H28" s="5" t="inlineStr">
        <is>
          <t>Phần mềm Quản lý (E-Office)</t>
        </is>
      </c>
      <c r="I28" s="12" t="n">
        <v>182</v>
      </c>
      <c r="J28" s="12" t="n">
        <v>168</v>
      </c>
      <c r="K28" s="13">
        <f>J28/I28</f>
        <v/>
      </c>
      <c r="L28" s="12" t="n">
        <v>59000000</v>
      </c>
      <c r="M28" s="12" t="n">
        <v>58400000</v>
      </c>
      <c r="N28" s="13">
        <f>M28/L28</f>
        <v/>
      </c>
      <c r="O28" s="12">
        <f>L28-M28</f>
        <v/>
      </c>
      <c r="P28" s="12" t="n">
        <v>292</v>
      </c>
      <c r="Q28" s="10" t="inlineStr">
        <is>
          <t>Hoàn thành</t>
        </is>
      </c>
      <c r="R28" s="10">
        <f>IF(OR(K28&lt;0.75, N28&gt;1.0, Q28="Quá hạn xử lý"), "Rủi ro Cao (Cần xử lý)", IF(K28&lt;0.88, "Rủi ro Trung bình", "An toàn / Tốt"))</f>
        <v/>
      </c>
    </row>
    <row r="29">
      <c r="A29" s="14" t="inlineStr">
        <is>
          <t>NV-026</t>
        </is>
      </c>
      <c r="B29" s="15" t="n">
        <v>46096</v>
      </c>
      <c r="C29" s="14" t="inlineStr">
        <is>
          <t>Tháng 03/2026</t>
        </is>
      </c>
      <c r="D29" s="16" t="inlineStr">
        <is>
          <t>Phòng Pháp chế &amp; Kiểm soát nội bộ</t>
        </is>
      </c>
      <c r="E29" s="16" t="inlineStr">
        <is>
          <t>Trương Quang Vinh</t>
        </is>
      </c>
      <c r="F29" s="16" t="inlineStr">
        <is>
          <t>Kiểm tra, Rà soát Pháp lý &amp; Tuân thủ</t>
        </is>
      </c>
      <c r="G29" s="14" t="inlineStr">
        <is>
          <t>Quan trọng (Trung bình)</t>
        </is>
      </c>
      <c r="H29" s="16" t="inlineStr">
        <is>
          <t>Tự động hóa bằng AI Agent</t>
        </is>
      </c>
      <c r="I29" s="17" t="n">
        <v>103</v>
      </c>
      <c r="J29" s="17" t="n">
        <v>89</v>
      </c>
      <c r="K29" s="18">
        <f>J29/I29</f>
        <v/>
      </c>
      <c r="L29" s="17" t="n">
        <v>150500000</v>
      </c>
      <c r="M29" s="17" t="n">
        <v>122400000</v>
      </c>
      <c r="N29" s="18">
        <f>M29/L29</f>
        <v/>
      </c>
      <c r="O29" s="17">
        <f>L29-M29</f>
        <v/>
      </c>
      <c r="P29" s="17" t="n">
        <v>152</v>
      </c>
      <c r="Q29" s="14" t="inlineStr">
        <is>
          <t>Hoàn thành</t>
        </is>
      </c>
      <c r="R29" s="14">
        <f>IF(OR(K29&lt;0.75, N29&gt;1.0, Q29="Quá hạn xử lý"), "Rủi ro Cao (Cần xử lý)", IF(K29&lt;0.88, "Rủi ro Trung bình", "An toàn / Tốt"))</f>
        <v/>
      </c>
    </row>
    <row r="30">
      <c r="A30" s="10" t="inlineStr">
        <is>
          <t>NV-027</t>
        </is>
      </c>
      <c r="B30" s="11" t="n">
        <v>46156</v>
      </c>
      <c r="C30" s="10" t="inlineStr">
        <is>
          <t>Tháng 05/2026</t>
        </is>
      </c>
      <c r="D30" s="5" t="inlineStr">
        <is>
          <t>Trung tâm Công nghệ &amp; Chuyển đổi số</t>
        </is>
      </c>
      <c r="E30" s="5" t="inlineStr">
        <is>
          <t>Hoàng Tuấn Anh</t>
        </is>
      </c>
      <c r="F30" s="5" t="inlineStr">
        <is>
          <t>Thanh quyết toán &amp; Giải ngân Dự án</t>
        </is>
      </c>
      <c r="G30" s="10" t="inlineStr">
        <is>
          <t>Quan trọng (Trung bình)</t>
        </is>
      </c>
      <c r="H30" s="5" t="inlineStr">
        <is>
          <t>Tự động hóa bằng AI Agent</t>
        </is>
      </c>
      <c r="I30" s="12" t="n">
        <v>24</v>
      </c>
      <c r="J30" s="12" t="n">
        <v>23</v>
      </c>
      <c r="K30" s="13">
        <f>J30/I30</f>
        <v/>
      </c>
      <c r="L30" s="12" t="n">
        <v>120500000</v>
      </c>
      <c r="M30" s="12" t="n">
        <v>124400000</v>
      </c>
      <c r="N30" s="13">
        <f>M30/L30</f>
        <v/>
      </c>
      <c r="O30" s="12">
        <f>L30-M30</f>
        <v/>
      </c>
      <c r="P30" s="12" t="n">
        <v>39</v>
      </c>
      <c r="Q30" s="10" t="inlineStr">
        <is>
          <t>Quá hạn xử lý</t>
        </is>
      </c>
      <c r="R30" s="10">
        <f>IF(OR(K30&lt;0.75, N30&gt;1.0, Q30="Quá hạn xử lý"), "Rủi ro Cao (Cần xử lý)", IF(K30&lt;0.88, "Rủi ro Trung bình", "An toàn / Tốt"))</f>
        <v/>
      </c>
    </row>
    <row r="31">
      <c r="A31" s="14" t="inlineStr">
        <is>
          <t>NV-028</t>
        </is>
      </c>
      <c r="B31" s="15" t="n">
        <v>46028</v>
      </c>
      <c r="C31" s="14" t="inlineStr">
        <is>
          <t>Tháng 01/2026</t>
        </is>
      </c>
      <c r="D31" s="16" t="inlineStr">
        <is>
          <t>Phòng Pháp chế &amp; Kiểm soát nội bộ</t>
        </is>
      </c>
      <c r="E31" s="16" t="inlineStr">
        <is>
          <t>Phan Thanh Thảo</t>
        </is>
      </c>
      <c r="F31" s="16" t="inlineStr">
        <is>
          <t>Soạn thảo &amp; Ban hành Văn bản điều hành</t>
        </is>
      </c>
      <c r="G31" s="14" t="inlineStr">
        <is>
          <t>Khẩn cấp (Cao)</t>
        </is>
      </c>
      <c r="H31" s="16" t="inlineStr">
        <is>
          <t>Bán tự động (Excel + Biểu mẫu)</t>
        </is>
      </c>
      <c r="I31" s="17" t="n">
        <v>51</v>
      </c>
      <c r="J31" s="17" t="n">
        <v>42</v>
      </c>
      <c r="K31" s="18">
        <f>J31/I31</f>
        <v/>
      </c>
      <c r="L31" s="17" t="n">
        <v>179500000</v>
      </c>
      <c r="M31" s="17" t="n">
        <v>169000000</v>
      </c>
      <c r="N31" s="18">
        <f>M31/L31</f>
        <v/>
      </c>
      <c r="O31" s="17">
        <f>L31-M31</f>
        <v/>
      </c>
      <c r="P31" s="17" t="n">
        <v>139</v>
      </c>
      <c r="Q31" s="14" t="inlineStr">
        <is>
          <t>Hoàn thành</t>
        </is>
      </c>
      <c r="R31" s="14">
        <f>IF(OR(K31&lt;0.75, N31&gt;1.0, Q31="Quá hạn xử lý"), "Rủi ro Cao (Cần xử lý)", IF(K31&lt;0.88, "Rủi ro Trung bình", "An toàn / Tốt"))</f>
        <v/>
      </c>
    </row>
    <row r="32">
      <c r="A32" s="10" t="inlineStr">
        <is>
          <t>NV-029</t>
        </is>
      </c>
      <c r="B32" s="11" t="n">
        <v>46188</v>
      </c>
      <c r="C32" s="10" t="inlineStr">
        <is>
          <t>Tháng 06/2026</t>
        </is>
      </c>
      <c r="D32" s="5" t="inlineStr">
        <is>
          <t>Ban Quản lý Dự án Đầu tư &amp; Hạ tầng</t>
        </is>
      </c>
      <c r="E32" s="5" t="inlineStr">
        <is>
          <t>Mai Anh Tuấn</t>
        </is>
      </c>
      <c r="F32" s="5" t="inlineStr">
        <is>
          <t>Triển khai Hạ tầng &amp; Phần mềm AI nội bộ</t>
        </is>
      </c>
      <c r="G32" s="10" t="inlineStr">
        <is>
          <t>Định kỳ (Thấp)</t>
        </is>
      </c>
      <c r="H32" s="5" t="inlineStr">
        <is>
          <t>Tự động hóa bằng AI Agent</t>
        </is>
      </c>
      <c r="I32" s="12" t="n">
        <v>38</v>
      </c>
      <c r="J32" s="12" t="n">
        <v>32</v>
      </c>
      <c r="K32" s="13">
        <f>J32/I32</f>
        <v/>
      </c>
      <c r="L32" s="12" t="n">
        <v>356000000</v>
      </c>
      <c r="M32" s="12" t="n">
        <v>318700000</v>
      </c>
      <c r="N32" s="13">
        <f>M32/L32</f>
        <v/>
      </c>
      <c r="O32" s="12">
        <f>L32-M32</f>
        <v/>
      </c>
      <c r="P32" s="12" t="n">
        <v>34</v>
      </c>
      <c r="Q32" s="10" t="inlineStr">
        <is>
          <t>Tạm dừng chờ duyệt</t>
        </is>
      </c>
      <c r="R32" s="10">
        <f>IF(OR(K32&lt;0.75, N32&gt;1.0, Q32="Quá hạn xử lý"), "Rủi ro Cao (Cần xử lý)", IF(K32&lt;0.88, "Rủi ro Trung bình", "An toàn / Tốt"))</f>
        <v/>
      </c>
    </row>
    <row r="33">
      <c r="A33" s="14" t="inlineStr">
        <is>
          <t>NV-030</t>
        </is>
      </c>
      <c r="B33" s="15" t="n">
        <v>46094</v>
      </c>
      <c r="C33" s="14" t="inlineStr">
        <is>
          <t>Tháng 03/2026</t>
        </is>
      </c>
      <c r="D33" s="16" t="inlineStr">
        <is>
          <t>Ban Quản lý Dự án Đầu tư &amp; Hạ tầng</t>
        </is>
      </c>
      <c r="E33" s="16" t="inlineStr">
        <is>
          <t>Đinh Quốc Huy</t>
        </is>
      </c>
      <c r="F33" s="16" t="inlineStr">
        <is>
          <t>Thanh quyết toán &amp; Giải ngân Dự án</t>
        </is>
      </c>
      <c r="G33" s="14" t="inlineStr">
        <is>
          <t>Định kỳ (Thấp)</t>
        </is>
      </c>
      <c r="H33" s="16" t="inlineStr">
        <is>
          <t>Phần mềm Quản lý (E-Office)</t>
        </is>
      </c>
      <c r="I33" s="17" t="n">
        <v>49</v>
      </c>
      <c r="J33" s="17" t="n">
        <v>38</v>
      </c>
      <c r="K33" s="18">
        <f>J33/I33</f>
        <v/>
      </c>
      <c r="L33" s="17" t="n">
        <v>540000000</v>
      </c>
      <c r="M33" s="17" t="n">
        <v>407000000</v>
      </c>
      <c r="N33" s="18">
        <f>M33/L33</f>
        <v/>
      </c>
      <c r="O33" s="17">
        <f>L33-M33</f>
        <v/>
      </c>
      <c r="P33" s="17" t="n">
        <v>108</v>
      </c>
      <c r="Q33" s="14" t="inlineStr">
        <is>
          <t>Hoàn thành</t>
        </is>
      </c>
      <c r="R33" s="14">
        <f>IF(OR(K33&lt;0.75, N33&gt;1.0, Q33="Quá hạn xử lý"), "Rủi ro Cao (Cần xử lý)", IF(K33&lt;0.88, "Rủi ro Trung bình", "An toàn / Tốt"))</f>
        <v/>
      </c>
    </row>
    <row r="34">
      <c r="A34" s="10" t="inlineStr">
        <is>
          <t>NV-031</t>
        </is>
      </c>
      <c r="B34" s="11" t="n">
        <v>46189</v>
      </c>
      <c r="C34" s="10" t="inlineStr">
        <is>
          <t>Tháng 06/2026</t>
        </is>
      </c>
      <c r="D34" s="5" t="inlineStr">
        <is>
          <t>Văn phòng &amp; Hành chính Tổng hợp</t>
        </is>
      </c>
      <c r="E34" s="5" t="inlineStr">
        <is>
          <t>Nguyễn Văn Hùng</t>
        </is>
      </c>
      <c r="F34" s="5" t="inlineStr">
        <is>
          <t>Soạn thảo &amp; Ban hành Văn bản điều hành</t>
        </is>
      </c>
      <c r="G34" s="10" t="inlineStr">
        <is>
          <t>Quan trọng (Trung bình)</t>
        </is>
      </c>
      <c r="H34" s="5" t="inlineStr">
        <is>
          <t>Bán tự động (Excel + Biểu mẫu)</t>
        </is>
      </c>
      <c r="I34" s="12" t="n">
        <v>60</v>
      </c>
      <c r="J34" s="12" t="n">
        <v>45</v>
      </c>
      <c r="K34" s="13">
        <f>J34/I34</f>
        <v/>
      </c>
      <c r="L34" s="12" t="n">
        <v>99000000</v>
      </c>
      <c r="M34" s="12" t="n">
        <v>82900000</v>
      </c>
      <c r="N34" s="13">
        <f>M34/L34</f>
        <v/>
      </c>
      <c r="O34" s="12">
        <f>L34-M34</f>
        <v/>
      </c>
      <c r="P34" s="12" t="n">
        <v>149</v>
      </c>
      <c r="Q34" s="10" t="inlineStr">
        <is>
          <t>Tạm dừng chờ duyệt</t>
        </is>
      </c>
      <c r="R34" s="10">
        <f>IF(OR(K34&lt;0.75, N34&gt;1.0, Q34="Quá hạn xử lý"), "Rủi ro Cao (Cần xử lý)", IF(K34&lt;0.88, "Rủi ro Trung bình", "An toàn / Tốt"))</f>
        <v/>
      </c>
    </row>
    <row r="35">
      <c r="A35" s="14" t="inlineStr">
        <is>
          <t>NV-032</t>
        </is>
      </c>
      <c r="B35" s="15" t="n">
        <v>46149</v>
      </c>
      <c r="C35" s="14" t="inlineStr">
        <is>
          <t>Tháng 05/2026</t>
        </is>
      </c>
      <c r="D35" s="16" t="inlineStr">
        <is>
          <t>Văn phòng &amp; Hành chính Tổng hợp</t>
        </is>
      </c>
      <c r="E35" s="16" t="inlineStr">
        <is>
          <t>Lê Hoàng Nam</t>
        </is>
      </c>
      <c r="F35" s="16" t="inlineStr">
        <is>
          <t>Tổ chức Hội nghị, Tập huấn &amp; Đào tạo</t>
        </is>
      </c>
      <c r="G35" s="14" t="inlineStr">
        <is>
          <t>Định kỳ (Thấp)</t>
        </is>
      </c>
      <c r="H35" s="16" t="inlineStr">
        <is>
          <t>Phần mềm Quản lý (E-Office)</t>
        </is>
      </c>
      <c r="I35" s="17" t="n">
        <v>106</v>
      </c>
      <c r="J35" s="17" t="n">
        <v>87</v>
      </c>
      <c r="K35" s="18">
        <f>J35/I35</f>
        <v/>
      </c>
      <c r="L35" s="17" t="n">
        <v>76500000</v>
      </c>
      <c r="M35" s="17" t="n">
        <v>68500000</v>
      </c>
      <c r="N35" s="18">
        <f>M35/L35</f>
        <v/>
      </c>
      <c r="O35" s="17">
        <f>L35-M35</f>
        <v/>
      </c>
      <c r="P35" s="17" t="n">
        <v>122</v>
      </c>
      <c r="Q35" s="14" t="inlineStr">
        <is>
          <t>Đang thực hiện</t>
        </is>
      </c>
      <c r="R35" s="14">
        <f>IF(OR(K35&lt;0.75, N35&gt;1.0, Q35="Quá hạn xử lý"), "Rủi ro Cao (Cần xử lý)", IF(K35&lt;0.88, "Rủi ro Trung bình", "An toàn / Tốt"))</f>
        <v/>
      </c>
    </row>
    <row r="36">
      <c r="A36" s="10" t="inlineStr">
        <is>
          <t>NV-033</t>
        </is>
      </c>
      <c r="B36" s="11" t="n">
        <v>46041</v>
      </c>
      <c r="C36" s="10" t="inlineStr">
        <is>
          <t>Tháng 01/2026</t>
        </is>
      </c>
      <c r="D36" s="5" t="inlineStr">
        <is>
          <t>Phòng Pháp chế &amp; Kiểm soát nội bộ</t>
        </is>
      </c>
      <c r="E36" s="5" t="inlineStr">
        <is>
          <t>Trương Quang Vinh</t>
        </is>
      </c>
      <c r="F36" s="5" t="inlineStr">
        <is>
          <t>Tổ chức Hội nghị, Tập huấn &amp; Đào tạo</t>
        </is>
      </c>
      <c r="G36" s="10" t="inlineStr">
        <is>
          <t>Khẩn cấp (Cao)</t>
        </is>
      </c>
      <c r="H36" s="5" t="inlineStr">
        <is>
          <t>Xử lý Thủ công (Hồ sơ giấy)</t>
        </is>
      </c>
      <c r="I36" s="12" t="n">
        <v>102</v>
      </c>
      <c r="J36" s="12" t="n">
        <v>65</v>
      </c>
      <c r="K36" s="13">
        <f>J36/I36</f>
        <v/>
      </c>
      <c r="L36" s="12" t="n">
        <v>51500000</v>
      </c>
      <c r="M36" s="12" t="n">
        <v>42600000</v>
      </c>
      <c r="N36" s="13">
        <f>M36/L36</f>
        <v/>
      </c>
      <c r="O36" s="12">
        <f>L36-M36</f>
        <v/>
      </c>
      <c r="P36" s="12" t="n">
        <v>191</v>
      </c>
      <c r="Q36" s="10" t="inlineStr">
        <is>
          <t>Quá hạn xử lý</t>
        </is>
      </c>
      <c r="R36" s="10">
        <f>IF(OR(K36&lt;0.75, N36&gt;1.0, Q36="Quá hạn xử lý"), "Rủi ro Cao (Cần xử lý)", IF(K36&lt;0.88, "Rủi ro Trung bình", "An toàn / Tốt"))</f>
        <v/>
      </c>
    </row>
    <row r="37">
      <c r="A37" s="14" t="inlineStr">
        <is>
          <t>NV-034</t>
        </is>
      </c>
      <c r="B37" s="15" t="n">
        <v>46138</v>
      </c>
      <c r="C37" s="14" t="inlineStr">
        <is>
          <t>Tháng 04/2026</t>
        </is>
      </c>
      <c r="D37" s="16" t="inlineStr">
        <is>
          <t>Trung tâm Công nghệ &amp; Chuyển đổi số</t>
        </is>
      </c>
      <c r="E37" s="16" t="inlineStr">
        <is>
          <t>Ngô Phương Linh</t>
        </is>
      </c>
      <c r="F37" s="16" t="inlineStr">
        <is>
          <t>Thanh quyết toán &amp; Giải ngân Dự án</t>
        </is>
      </c>
      <c r="G37" s="14" t="inlineStr">
        <is>
          <t>Quan trọng (Trung bình)</t>
        </is>
      </c>
      <c r="H37" s="16" t="inlineStr">
        <is>
          <t>Phần mềm Quản lý (E-Office)</t>
        </is>
      </c>
      <c r="I37" s="17" t="n">
        <v>58</v>
      </c>
      <c r="J37" s="17" t="n">
        <v>54</v>
      </c>
      <c r="K37" s="18">
        <f>J37/I37</f>
        <v/>
      </c>
      <c r="L37" s="17" t="n">
        <v>530500000</v>
      </c>
      <c r="M37" s="17" t="n">
        <v>446600000</v>
      </c>
      <c r="N37" s="18">
        <f>M37/L37</f>
        <v/>
      </c>
      <c r="O37" s="17">
        <f>L37-M37</f>
        <v/>
      </c>
      <c r="P37" s="17" t="n">
        <v>98</v>
      </c>
      <c r="Q37" s="14" t="inlineStr">
        <is>
          <t>Đang thực hiện</t>
        </is>
      </c>
      <c r="R37" s="14">
        <f>IF(OR(K37&lt;0.75, N37&gt;1.0, Q37="Quá hạn xử lý"), "Rủi ro Cao (Cần xử lý)", IF(K37&lt;0.88, "Rủi ro Trung bình", "An toàn / Tốt"))</f>
        <v/>
      </c>
    </row>
    <row r="38">
      <c r="A38" s="10" t="inlineStr">
        <is>
          <t>NV-035</t>
        </is>
      </c>
      <c r="B38" s="11" t="n">
        <v>46069</v>
      </c>
      <c r="C38" s="10" t="inlineStr">
        <is>
          <t>Tháng 02/2026</t>
        </is>
      </c>
      <c r="D38" s="5" t="inlineStr">
        <is>
          <t>Phòng Kế hoạch - Tài chính</t>
        </is>
      </c>
      <c r="E38" s="5" t="inlineStr">
        <is>
          <t>Phạm Minh Đức</t>
        </is>
      </c>
      <c r="F38" s="5" t="inlineStr">
        <is>
          <t>Thanh quyết toán &amp; Giải ngân Dự án</t>
        </is>
      </c>
      <c r="G38" s="10" t="inlineStr">
        <is>
          <t>Khẩn cấp (Cao)</t>
        </is>
      </c>
      <c r="H38" s="5" t="inlineStr">
        <is>
          <t>Phần mềm Quản lý (E-Office)</t>
        </is>
      </c>
      <c r="I38" s="12" t="n">
        <v>88</v>
      </c>
      <c r="J38" s="12" t="n">
        <v>76</v>
      </c>
      <c r="K38" s="13">
        <f>J38/I38</f>
        <v/>
      </c>
      <c r="L38" s="12" t="n">
        <v>162500000</v>
      </c>
      <c r="M38" s="12" t="n">
        <v>155300000</v>
      </c>
      <c r="N38" s="13">
        <f>M38/L38</f>
        <v/>
      </c>
      <c r="O38" s="12">
        <f>L38-M38</f>
        <v/>
      </c>
      <c r="P38" s="12" t="n">
        <v>157</v>
      </c>
      <c r="Q38" s="10" t="inlineStr">
        <is>
          <t>Hoàn thành</t>
        </is>
      </c>
      <c r="R38" s="10">
        <f>IF(OR(K38&lt;0.75, N38&gt;1.0, Q38="Quá hạn xử lý"), "Rủi ro Cao (Cần xử lý)", IF(K38&lt;0.88, "Rủi ro Trung bình", "An toàn / Tốt"))</f>
        <v/>
      </c>
    </row>
    <row r="39">
      <c r="A39" s="14" t="inlineStr">
        <is>
          <t>NV-036</t>
        </is>
      </c>
      <c r="B39" s="15" t="n">
        <v>46030</v>
      </c>
      <c r="C39" s="14" t="inlineStr">
        <is>
          <t>Tháng 01/2026</t>
        </is>
      </c>
      <c r="D39" s="16" t="inlineStr">
        <is>
          <t>Trung tâm Công nghệ &amp; Chuyển đổi số</t>
        </is>
      </c>
      <c r="E39" s="16" t="inlineStr">
        <is>
          <t>Hoàng Tuấn Anh</t>
        </is>
      </c>
      <c r="F39" s="16" t="inlineStr">
        <is>
          <t>Thanh quyết toán &amp; Giải ngân Dự án</t>
        </is>
      </c>
      <c r="G39" s="14" t="inlineStr">
        <is>
          <t>Quan trọng (Trung bình)</t>
        </is>
      </c>
      <c r="H39" s="16" t="inlineStr">
        <is>
          <t>Phần mềm Quản lý (E-Office)</t>
        </is>
      </c>
      <c r="I39" s="17" t="n">
        <v>41</v>
      </c>
      <c r="J39" s="17" t="n">
        <v>31</v>
      </c>
      <c r="K39" s="18">
        <f>J39/I39</f>
        <v/>
      </c>
      <c r="L39" s="17" t="n">
        <v>235500000</v>
      </c>
      <c r="M39" s="17" t="n">
        <v>178400000</v>
      </c>
      <c r="N39" s="18">
        <f>M39/L39</f>
        <v/>
      </c>
      <c r="O39" s="17">
        <f>L39-M39</f>
        <v/>
      </c>
      <c r="P39" s="17" t="n">
        <v>70</v>
      </c>
      <c r="Q39" s="14" t="inlineStr">
        <is>
          <t>Hoàn thành</t>
        </is>
      </c>
      <c r="R39" s="14">
        <f>IF(OR(K39&lt;0.75, N39&gt;1.0, Q39="Quá hạn xử lý"), "Rủi ro Cao (Cần xử lý)", IF(K39&lt;0.88, "Rủi ro Trung bình", "An toàn / Tốt"))</f>
        <v/>
      </c>
    </row>
    <row r="40">
      <c r="A40" s="10" t="inlineStr">
        <is>
          <t>NV-037</t>
        </is>
      </c>
      <c r="B40" s="11" t="n">
        <v>46140</v>
      </c>
      <c r="C40" s="10" t="inlineStr">
        <is>
          <t>Tháng 04/2026</t>
        </is>
      </c>
      <c r="D40" s="5" t="inlineStr">
        <is>
          <t>Văn phòng &amp; Hành chính Tổng hợp</t>
        </is>
      </c>
      <c r="E40" s="5" t="inlineStr">
        <is>
          <t>Nguyễn Văn Hùng</t>
        </is>
      </c>
      <c r="F40" s="5" t="inlineStr">
        <is>
          <t>Tổ chức Hội nghị, Tập huấn &amp; Đào tạo</t>
        </is>
      </c>
      <c r="G40" s="10" t="inlineStr">
        <is>
          <t>Quan trọng (Trung bình)</t>
        </is>
      </c>
      <c r="H40" s="5" t="inlineStr">
        <is>
          <t>Bán tự động (Excel + Biểu mẫu)</t>
        </is>
      </c>
      <c r="I40" s="12" t="n">
        <v>116</v>
      </c>
      <c r="J40" s="12" t="n">
        <v>83</v>
      </c>
      <c r="K40" s="13">
        <f>J40/I40</f>
        <v/>
      </c>
      <c r="L40" s="12" t="n">
        <v>98000000</v>
      </c>
      <c r="M40" s="12" t="n">
        <v>83800000</v>
      </c>
      <c r="N40" s="13">
        <f>M40/L40</f>
        <v/>
      </c>
      <c r="O40" s="12">
        <f>L40-M40</f>
        <v/>
      </c>
      <c r="P40" s="12" t="n">
        <v>177</v>
      </c>
      <c r="Q40" s="10" t="inlineStr">
        <is>
          <t>Hoàn thành</t>
        </is>
      </c>
      <c r="R40" s="10">
        <f>IF(OR(K40&lt;0.75, N40&gt;1.0, Q40="Quá hạn xử lý"), "Rủi ro Cao (Cần xử lý)", IF(K40&lt;0.88, "Rủi ro Trung bình", "An toàn / Tốt"))</f>
        <v/>
      </c>
    </row>
    <row r="41">
      <c r="A41" s="14" t="inlineStr">
        <is>
          <t>NV-038</t>
        </is>
      </c>
      <c r="B41" s="15" t="n">
        <v>46148</v>
      </c>
      <c r="C41" s="14" t="inlineStr">
        <is>
          <t>Tháng 05/2026</t>
        </is>
      </c>
      <c r="D41" s="16" t="inlineStr">
        <is>
          <t>Văn phòng &amp; Hành chính Tổng hợp</t>
        </is>
      </c>
      <c r="E41" s="16" t="inlineStr">
        <is>
          <t>Trần Thị Mai</t>
        </is>
      </c>
      <c r="F41" s="16" t="inlineStr">
        <is>
          <t>Tổ chức Hội nghị, Tập huấn &amp; Đào tạo</t>
        </is>
      </c>
      <c r="G41" s="14" t="inlineStr">
        <is>
          <t>Quan trọng (Trung bình)</t>
        </is>
      </c>
      <c r="H41" s="16" t="inlineStr">
        <is>
          <t>Bán tự động (Excel + Biểu mẫu)</t>
        </is>
      </c>
      <c r="I41" s="17" t="n">
        <v>139</v>
      </c>
      <c r="J41" s="17" t="n">
        <v>109</v>
      </c>
      <c r="K41" s="18">
        <f>J41/I41</f>
        <v/>
      </c>
      <c r="L41" s="17" t="n">
        <v>116000000</v>
      </c>
      <c r="M41" s="17" t="n">
        <v>105900000</v>
      </c>
      <c r="N41" s="18">
        <f>M41/L41</f>
        <v/>
      </c>
      <c r="O41" s="17">
        <f>L41-M41</f>
        <v/>
      </c>
      <c r="P41" s="17" t="n">
        <v>253</v>
      </c>
      <c r="Q41" s="14" t="inlineStr">
        <is>
          <t>Hoàn thành</t>
        </is>
      </c>
      <c r="R41" s="14">
        <f>IF(OR(K41&lt;0.75, N41&gt;1.0, Q41="Quá hạn xử lý"), "Rủi ro Cao (Cần xử lý)", IF(K41&lt;0.88, "Rủi ro Trung bình", "An toàn / Tốt"))</f>
        <v/>
      </c>
    </row>
    <row r="42">
      <c r="A42" s="10" t="inlineStr">
        <is>
          <t>NV-039</t>
        </is>
      </c>
      <c r="B42" s="11" t="n">
        <v>46122</v>
      </c>
      <c r="C42" s="10" t="inlineStr">
        <is>
          <t>Tháng 04/2026</t>
        </is>
      </c>
      <c r="D42" s="5" t="inlineStr">
        <is>
          <t>Văn phòng &amp; Hành chính Tổng hợp</t>
        </is>
      </c>
      <c r="E42" s="5" t="inlineStr">
        <is>
          <t>Lê Hoàng Nam</t>
        </is>
      </c>
      <c r="F42" s="5" t="inlineStr">
        <is>
          <t>Tổ chức Hội nghị, Tập huấn &amp; Đào tạo</t>
        </is>
      </c>
      <c r="G42" s="10" t="inlineStr">
        <is>
          <t>Quan trọng (Trung bình)</t>
        </is>
      </c>
      <c r="H42" s="5" t="inlineStr">
        <is>
          <t>Xử lý Thủ công (Hồ sơ giấy)</t>
        </is>
      </c>
      <c r="I42" s="12" t="n">
        <v>80</v>
      </c>
      <c r="J42" s="12" t="n">
        <v>50</v>
      </c>
      <c r="K42" s="13">
        <f>J42/I42</f>
        <v/>
      </c>
      <c r="L42" s="12" t="n">
        <v>39000000</v>
      </c>
      <c r="M42" s="12" t="n">
        <v>30500000</v>
      </c>
      <c r="N42" s="13">
        <f>M42/L42</f>
        <v/>
      </c>
      <c r="O42" s="12">
        <f>L42-M42</f>
        <v/>
      </c>
      <c r="P42" s="12" t="n">
        <v>140</v>
      </c>
      <c r="Q42" s="10" t="inlineStr">
        <is>
          <t>Quá hạn xử lý</t>
        </is>
      </c>
      <c r="R42" s="10">
        <f>IF(OR(K42&lt;0.75, N42&gt;1.0, Q42="Quá hạn xử lý"), "Rủi ro Cao (Cần xử lý)", IF(K42&lt;0.88, "Rủi ro Trung bình", "An toàn / Tốt"))</f>
        <v/>
      </c>
    </row>
    <row r="43">
      <c r="A43" s="14" t="inlineStr">
        <is>
          <t>NV-040</t>
        </is>
      </c>
      <c r="B43" s="15" t="n">
        <v>46162</v>
      </c>
      <c r="C43" s="14" t="inlineStr">
        <is>
          <t>Tháng 05/2026</t>
        </is>
      </c>
      <c r="D43" s="16" t="inlineStr">
        <is>
          <t>Phòng Pháp chế &amp; Kiểm soát nội bộ</t>
        </is>
      </c>
      <c r="E43" s="16" t="inlineStr">
        <is>
          <t>Phan Thanh Thảo</t>
        </is>
      </c>
      <c r="F43" s="16" t="inlineStr">
        <is>
          <t>Thẩm định Hồ sơ đấu thầu &amp; Mua sắm</t>
        </is>
      </c>
      <c r="G43" s="14" t="inlineStr">
        <is>
          <t>Quan trọng (Trung bình)</t>
        </is>
      </c>
      <c r="H43" s="16" t="inlineStr">
        <is>
          <t>Bán tự động (Excel + Biểu mẫu)</t>
        </is>
      </c>
      <c r="I43" s="17" t="n">
        <v>27</v>
      </c>
      <c r="J43" s="17" t="n">
        <v>19</v>
      </c>
      <c r="K43" s="18">
        <f>J43/I43</f>
        <v/>
      </c>
      <c r="L43" s="17" t="n">
        <v>121500000</v>
      </c>
      <c r="M43" s="17" t="n">
        <v>130400000</v>
      </c>
      <c r="N43" s="18">
        <f>M43/L43</f>
        <v/>
      </c>
      <c r="O43" s="17">
        <f>L43-M43</f>
        <v/>
      </c>
      <c r="P43" s="17" t="n">
        <v>70</v>
      </c>
      <c r="Q43" s="14" t="inlineStr">
        <is>
          <t>Đang thực hiện</t>
        </is>
      </c>
      <c r="R43" s="14">
        <f>IF(OR(K43&lt;0.75, N43&gt;1.0, Q43="Quá hạn xử lý"), "Rủi ro Cao (Cần xử lý)", IF(K43&lt;0.88, "Rủi ro Trung bình", "An toàn / Tốt"))</f>
        <v/>
      </c>
    </row>
    <row r="44">
      <c r="A44" s="10" t="inlineStr">
        <is>
          <t>NV-041</t>
        </is>
      </c>
      <c r="B44" s="11" t="n">
        <v>46152</v>
      </c>
      <c r="C44" s="10" t="inlineStr">
        <is>
          <t>Tháng 05/2026</t>
        </is>
      </c>
      <c r="D44" s="5" t="inlineStr">
        <is>
          <t>Trung tâm Công nghệ &amp; Chuyển đổi số</t>
        </is>
      </c>
      <c r="E44" s="5" t="inlineStr">
        <is>
          <t>Ngô Phương Linh</t>
        </is>
      </c>
      <c r="F44" s="5" t="inlineStr">
        <is>
          <t>Thanh quyết toán &amp; Giải ngân Dự án</t>
        </is>
      </c>
      <c r="G44" s="10" t="inlineStr">
        <is>
          <t>Quan trọng (Trung bình)</t>
        </is>
      </c>
      <c r="H44" s="5" t="inlineStr">
        <is>
          <t>Bán tự động (Excel + Biểu mẫu)</t>
        </is>
      </c>
      <c r="I44" s="12" t="n">
        <v>51</v>
      </c>
      <c r="J44" s="12" t="n">
        <v>40</v>
      </c>
      <c r="K44" s="13">
        <f>J44/I44</f>
        <v/>
      </c>
      <c r="L44" s="12" t="n">
        <v>190000000</v>
      </c>
      <c r="M44" s="12" t="n">
        <v>153500000</v>
      </c>
      <c r="N44" s="13">
        <f>M44/L44</f>
        <v/>
      </c>
      <c r="O44" s="12">
        <f>L44-M44</f>
        <v/>
      </c>
      <c r="P44" s="12" t="n">
        <v>92</v>
      </c>
      <c r="Q44" s="10" t="inlineStr">
        <is>
          <t>Hoàn thành</t>
        </is>
      </c>
      <c r="R44" s="10">
        <f>IF(OR(K44&lt;0.75, N44&gt;1.0, Q44="Quá hạn xử lý"), "Rủi ro Cao (Cần xử lý)", IF(K44&lt;0.88, "Rủi ro Trung bình", "An toàn / Tốt"))</f>
        <v/>
      </c>
    </row>
    <row r="45">
      <c r="A45" s="14" t="inlineStr">
        <is>
          <t>NV-042</t>
        </is>
      </c>
      <c r="B45" s="15" t="n">
        <v>46108</v>
      </c>
      <c r="C45" s="14" t="inlineStr">
        <is>
          <t>Tháng 03/2026</t>
        </is>
      </c>
      <c r="D45" s="16" t="inlineStr">
        <is>
          <t>Trung tâm Công nghệ &amp; Chuyển đổi số</t>
        </is>
      </c>
      <c r="E45" s="16" t="inlineStr">
        <is>
          <t>Hoàng Tuấn Anh</t>
        </is>
      </c>
      <c r="F45" s="16" t="inlineStr">
        <is>
          <t>Thẩm định Hồ sơ đấu thầu &amp; Mua sắm</t>
        </is>
      </c>
      <c r="G45" s="14" t="inlineStr">
        <is>
          <t>Khẩn cấp (Cao)</t>
        </is>
      </c>
      <c r="H45" s="16" t="inlineStr">
        <is>
          <t>Xử lý Thủ công (Hồ sơ giấy)</t>
        </is>
      </c>
      <c r="I45" s="17" t="n">
        <v>64</v>
      </c>
      <c r="J45" s="17" t="n">
        <v>38</v>
      </c>
      <c r="K45" s="18">
        <f>J45/I45</f>
        <v/>
      </c>
      <c r="L45" s="17" t="n">
        <v>373000000</v>
      </c>
      <c r="M45" s="17" t="n">
        <v>310400000</v>
      </c>
      <c r="N45" s="18">
        <f>M45/L45</f>
        <v/>
      </c>
      <c r="O45" s="17">
        <f>L45-M45</f>
        <v/>
      </c>
      <c r="P45" s="17" t="n">
        <v>204</v>
      </c>
      <c r="Q45" s="14" t="inlineStr">
        <is>
          <t>Quá hạn xử lý</t>
        </is>
      </c>
      <c r="R45" s="14">
        <f>IF(OR(K45&lt;0.75, N45&gt;1.0, Q45="Quá hạn xử lý"), "Rủi ro Cao (Cần xử lý)", IF(K45&lt;0.88, "Rủi ro Trung bình", "An toàn / Tốt"))</f>
        <v/>
      </c>
    </row>
    <row r="46">
      <c r="A46" s="10" t="inlineStr">
        <is>
          <t>NV-043</t>
        </is>
      </c>
      <c r="B46" s="11" t="n">
        <v>46085</v>
      </c>
      <c r="C46" s="10" t="inlineStr">
        <is>
          <t>Tháng 03/2026</t>
        </is>
      </c>
      <c r="D46" s="5" t="inlineStr">
        <is>
          <t>Phòng Kế hoạch - Tài chính</t>
        </is>
      </c>
      <c r="E46" s="5" t="inlineStr">
        <is>
          <t>Đặng Quốc Khánh</t>
        </is>
      </c>
      <c r="F46" s="5" t="inlineStr">
        <is>
          <t>Thanh quyết toán &amp; Giải ngân Dự án</t>
        </is>
      </c>
      <c r="G46" s="10" t="inlineStr">
        <is>
          <t>Định kỳ (Thấp)</t>
        </is>
      </c>
      <c r="H46" s="5" t="inlineStr">
        <is>
          <t>Tự động hóa bằng AI Agent</t>
        </is>
      </c>
      <c r="I46" s="12" t="n">
        <v>83</v>
      </c>
      <c r="J46" s="12" t="n">
        <v>77</v>
      </c>
      <c r="K46" s="13">
        <f>J46/I46</f>
        <v/>
      </c>
      <c r="L46" s="12" t="n">
        <v>90000000</v>
      </c>
      <c r="M46" s="12" t="n">
        <v>76200000</v>
      </c>
      <c r="N46" s="13">
        <f>M46/L46</f>
        <v/>
      </c>
      <c r="O46" s="12">
        <f>L46-M46</f>
        <v/>
      </c>
      <c r="P46" s="12" t="n">
        <v>148</v>
      </c>
      <c r="Q46" s="10" t="inlineStr">
        <is>
          <t>Hoàn thành</t>
        </is>
      </c>
      <c r="R46" s="10">
        <f>IF(OR(K46&lt;0.75, N46&gt;1.0, Q46="Quá hạn xử lý"), "Rủi ro Cao (Cần xử lý)", IF(K46&lt;0.88, "Rủi ro Trung bình", "An toàn / Tốt"))</f>
        <v/>
      </c>
    </row>
    <row r="47">
      <c r="A47" s="14" t="inlineStr">
        <is>
          <t>NV-044</t>
        </is>
      </c>
      <c r="B47" s="15" t="n">
        <v>46160</v>
      </c>
      <c r="C47" s="14" t="inlineStr">
        <is>
          <t>Tháng 05/2026</t>
        </is>
      </c>
      <c r="D47" s="16" t="inlineStr">
        <is>
          <t>Phòng Pháp chế &amp; Kiểm soát nội bộ</t>
        </is>
      </c>
      <c r="E47" s="16" t="inlineStr">
        <is>
          <t>Trương Quang Vinh</t>
        </is>
      </c>
      <c r="F47" s="16" t="inlineStr">
        <is>
          <t>Soạn thảo &amp; Ban hành Văn bản điều hành</t>
        </is>
      </c>
      <c r="G47" s="14" t="inlineStr">
        <is>
          <t>Khẩn cấp (Cao)</t>
        </is>
      </c>
      <c r="H47" s="16" t="inlineStr">
        <is>
          <t>Tự động hóa bằng AI Agent</t>
        </is>
      </c>
      <c r="I47" s="17" t="n">
        <v>78</v>
      </c>
      <c r="J47" s="17" t="n">
        <v>69</v>
      </c>
      <c r="K47" s="18">
        <f>J47/I47</f>
        <v/>
      </c>
      <c r="L47" s="17" t="n">
        <v>44000000</v>
      </c>
      <c r="M47" s="17" t="n">
        <v>41200000</v>
      </c>
      <c r="N47" s="18">
        <f>M47/L47</f>
        <v/>
      </c>
      <c r="O47" s="17">
        <f>L47-M47</f>
        <v/>
      </c>
      <c r="P47" s="17" t="n">
        <v>116</v>
      </c>
      <c r="Q47" s="14" t="inlineStr">
        <is>
          <t>Hoàn thành</t>
        </is>
      </c>
      <c r="R47" s="14">
        <f>IF(OR(K47&lt;0.75, N47&gt;1.0, Q47="Quá hạn xử lý"), "Rủi ro Cao (Cần xử lý)", IF(K47&lt;0.88, "Rủi ro Trung bình", "An toàn / Tốt"))</f>
        <v/>
      </c>
    </row>
    <row r="48">
      <c r="A48" s="10" t="inlineStr">
        <is>
          <t>NV-045</t>
        </is>
      </c>
      <c r="B48" s="11" t="n">
        <v>46032</v>
      </c>
      <c r="C48" s="10" t="inlineStr">
        <is>
          <t>Tháng 01/2026</t>
        </is>
      </c>
      <c r="D48" s="5" t="inlineStr">
        <is>
          <t>Phòng Tổ chức - Nhân sự &amp; Đào tạo</t>
        </is>
      </c>
      <c r="E48" s="5" t="inlineStr">
        <is>
          <t>Đỗ Thị Thu Hà</t>
        </is>
      </c>
      <c r="F48" s="5" t="inlineStr">
        <is>
          <t>Thẩm định Hồ sơ đấu thầu &amp; Mua sắm</t>
        </is>
      </c>
      <c r="G48" s="10" t="inlineStr">
        <is>
          <t>Quan trọng (Trung bình)</t>
        </is>
      </c>
      <c r="H48" s="5" t="inlineStr">
        <is>
          <t>Phần mềm Quản lý (E-Office)</t>
        </is>
      </c>
      <c r="I48" s="12" t="n">
        <v>39</v>
      </c>
      <c r="J48" s="12" t="n">
        <v>29</v>
      </c>
      <c r="K48" s="13">
        <f>J48/I48</f>
        <v/>
      </c>
      <c r="L48" s="12" t="n">
        <v>129500000</v>
      </c>
      <c r="M48" s="12" t="n">
        <v>139500000</v>
      </c>
      <c r="N48" s="13">
        <f>M48/L48</f>
        <v/>
      </c>
      <c r="O48" s="12">
        <f>L48-M48</f>
        <v/>
      </c>
      <c r="P48" s="12" t="n">
        <v>59</v>
      </c>
      <c r="Q48" s="10" t="inlineStr">
        <is>
          <t>Đang thực hiện</t>
        </is>
      </c>
      <c r="R48" s="10">
        <f>IF(OR(K48&lt;0.75, N48&gt;1.0, Q48="Quá hạn xử lý"), "Rủi ro Cao (Cần xử lý)", IF(K48&lt;0.88, "Rủi ro Trung bình", "An toàn / Tốt"))</f>
        <v/>
      </c>
    </row>
    <row r="49">
      <c r="A49" s="14" t="inlineStr">
        <is>
          <t>NV-046</t>
        </is>
      </c>
      <c r="B49" s="15" t="n">
        <v>46165</v>
      </c>
      <c r="C49" s="14" t="inlineStr">
        <is>
          <t>Tháng 05/2026</t>
        </is>
      </c>
      <c r="D49" s="16" t="inlineStr">
        <is>
          <t>Phòng Kế hoạch - Tài chính</t>
        </is>
      </c>
      <c r="E49" s="16" t="inlineStr">
        <is>
          <t>Vũ Thị Lan</t>
        </is>
      </c>
      <c r="F49" s="16" t="inlineStr">
        <is>
          <t>Thanh quyết toán &amp; Giải ngân Dự án</t>
        </is>
      </c>
      <c r="G49" s="14" t="inlineStr">
        <is>
          <t>Quan trọng (Trung bình)</t>
        </is>
      </c>
      <c r="H49" s="16" t="inlineStr">
        <is>
          <t>Tự động hóa bằng AI Agent</t>
        </is>
      </c>
      <c r="I49" s="17" t="n">
        <v>101</v>
      </c>
      <c r="J49" s="17" t="n">
        <v>97</v>
      </c>
      <c r="K49" s="18">
        <f>J49/I49</f>
        <v/>
      </c>
      <c r="L49" s="17" t="n">
        <v>305000000</v>
      </c>
      <c r="M49" s="17" t="n">
        <v>304300000</v>
      </c>
      <c r="N49" s="18">
        <f>M49/L49</f>
        <v/>
      </c>
      <c r="O49" s="17">
        <f>L49-M49</f>
        <v/>
      </c>
      <c r="P49" s="17" t="n">
        <v>140</v>
      </c>
      <c r="Q49" s="14" t="inlineStr">
        <is>
          <t>Hoàn thành</t>
        </is>
      </c>
      <c r="R49" s="14">
        <f>IF(OR(K49&lt;0.75, N49&gt;1.0, Q49="Quá hạn xử lý"), "Rủi ro Cao (Cần xử lý)", IF(K49&lt;0.88, "Rủi ro Trung bình", "An toàn / Tốt"))</f>
        <v/>
      </c>
    </row>
    <row r="50">
      <c r="A50" s="10" t="inlineStr">
        <is>
          <t>NV-047</t>
        </is>
      </c>
      <c r="B50" s="11" t="n">
        <v>46167</v>
      </c>
      <c r="C50" s="10" t="inlineStr">
        <is>
          <t>Tháng 05/2026</t>
        </is>
      </c>
      <c r="D50" s="5" t="inlineStr">
        <is>
          <t>Ban Quản lý Dự án Đầu tư &amp; Hạ tầng</t>
        </is>
      </c>
      <c r="E50" s="5" t="inlineStr">
        <is>
          <t>Đinh Quốc Huy</t>
        </is>
      </c>
      <c r="F50" s="5" t="inlineStr">
        <is>
          <t>Thanh quyết toán &amp; Giải ngân Dự án</t>
        </is>
      </c>
      <c r="G50" s="10" t="inlineStr">
        <is>
          <t>Quan trọng (Trung bình)</t>
        </is>
      </c>
      <c r="H50" s="5" t="inlineStr">
        <is>
          <t>Phần mềm Quản lý (E-Office)</t>
        </is>
      </c>
      <c r="I50" s="12" t="n">
        <v>36</v>
      </c>
      <c r="J50" s="12" t="n">
        <v>27</v>
      </c>
      <c r="K50" s="13">
        <f>J50/I50</f>
        <v/>
      </c>
      <c r="L50" s="12" t="n">
        <v>353000000</v>
      </c>
      <c r="M50" s="12" t="n">
        <v>269400000</v>
      </c>
      <c r="N50" s="13">
        <f>M50/L50</f>
        <v/>
      </c>
      <c r="O50" s="12">
        <f>L50-M50</f>
        <v/>
      </c>
      <c r="P50" s="12" t="n">
        <v>67</v>
      </c>
      <c r="Q50" s="10" t="inlineStr">
        <is>
          <t>Hoàn thành</t>
        </is>
      </c>
      <c r="R50" s="10">
        <f>IF(OR(K50&lt;0.75, N50&gt;1.0, Q50="Quá hạn xử lý"), "Rủi ro Cao (Cần xử lý)", IF(K50&lt;0.88, "Rủi ro Trung bình", "An toàn / Tốt"))</f>
        <v/>
      </c>
    </row>
    <row r="51">
      <c r="A51" s="14" t="inlineStr">
        <is>
          <t>NV-048</t>
        </is>
      </c>
      <c r="B51" s="15" t="n">
        <v>46091</v>
      </c>
      <c r="C51" s="14" t="inlineStr">
        <is>
          <t>Tháng 03/2026</t>
        </is>
      </c>
      <c r="D51" s="16" t="inlineStr">
        <is>
          <t>Phòng Kế hoạch - Tài chính</t>
        </is>
      </c>
      <c r="E51" s="16" t="inlineStr">
        <is>
          <t>Vũ Thị Lan</t>
        </is>
      </c>
      <c r="F51" s="16" t="inlineStr">
        <is>
          <t>Thanh quyết toán &amp; Giải ngân Dự án</t>
        </is>
      </c>
      <c r="G51" s="14" t="inlineStr">
        <is>
          <t>Khẩn cấp (Cao)</t>
        </is>
      </c>
      <c r="H51" s="16" t="inlineStr">
        <is>
          <t>Phần mềm Quản lý (E-Office)</t>
        </is>
      </c>
      <c r="I51" s="17" t="n">
        <v>128</v>
      </c>
      <c r="J51" s="17" t="n">
        <v>108</v>
      </c>
      <c r="K51" s="18">
        <f>J51/I51</f>
        <v/>
      </c>
      <c r="L51" s="17" t="n">
        <v>135500000</v>
      </c>
      <c r="M51" s="17" t="n">
        <v>138300000</v>
      </c>
      <c r="N51" s="18">
        <f>M51/L51</f>
        <v/>
      </c>
      <c r="O51" s="17">
        <f>L51-M51</f>
        <v/>
      </c>
      <c r="P51" s="17" t="n">
        <v>160</v>
      </c>
      <c r="Q51" s="14" t="inlineStr">
        <is>
          <t>Hoàn thành</t>
        </is>
      </c>
      <c r="R51" s="14">
        <f>IF(OR(K51&lt;0.75, N51&gt;1.0, Q51="Quá hạn xử lý"), "Rủi ro Cao (Cần xử lý)", IF(K51&lt;0.88, "Rủi ro Trung bình", "An toàn / Tốt"))</f>
        <v/>
      </c>
    </row>
    <row r="52">
      <c r="A52" s="10" t="inlineStr">
        <is>
          <t>NV-049</t>
        </is>
      </c>
      <c r="B52" s="11" t="n">
        <v>46101</v>
      </c>
      <c r="C52" s="10" t="inlineStr">
        <is>
          <t>Tháng 03/2026</t>
        </is>
      </c>
      <c r="D52" s="5" t="inlineStr">
        <is>
          <t>Phòng Kế hoạch - Tài chính</t>
        </is>
      </c>
      <c r="E52" s="5" t="inlineStr">
        <is>
          <t>Phạm Minh Đức</t>
        </is>
      </c>
      <c r="F52" s="5" t="inlineStr">
        <is>
          <t>Thẩm định Hồ sơ đấu thầu &amp; Mua sắm</t>
        </is>
      </c>
      <c r="G52" s="10" t="inlineStr">
        <is>
          <t>Định kỳ (Thấp)</t>
        </is>
      </c>
      <c r="H52" s="5" t="inlineStr">
        <is>
          <t>Phần mềm Quản lý (E-Office)</t>
        </is>
      </c>
      <c r="I52" s="12" t="n">
        <v>56</v>
      </c>
      <c r="J52" s="12" t="n">
        <v>50</v>
      </c>
      <c r="K52" s="13">
        <f>J52/I52</f>
        <v/>
      </c>
      <c r="L52" s="12" t="n">
        <v>113000000</v>
      </c>
      <c r="M52" s="12" t="n">
        <v>85900000</v>
      </c>
      <c r="N52" s="13">
        <f>M52/L52</f>
        <v/>
      </c>
      <c r="O52" s="12">
        <f>L52-M52</f>
        <v/>
      </c>
      <c r="P52" s="12" t="n">
        <v>76</v>
      </c>
      <c r="Q52" s="10" t="inlineStr">
        <is>
          <t>Hoàn thành</t>
        </is>
      </c>
      <c r="R52" s="10">
        <f>IF(OR(K52&lt;0.75, N52&gt;1.0, Q52="Quá hạn xử lý"), "Rủi ro Cao (Cần xử lý)", IF(K52&lt;0.88, "Rủi ro Trung bình", "An toàn / Tốt"))</f>
        <v/>
      </c>
    </row>
    <row r="53">
      <c r="A53" s="14" t="inlineStr">
        <is>
          <t>NV-050</t>
        </is>
      </c>
      <c r="B53" s="15" t="n">
        <v>46083</v>
      </c>
      <c r="C53" s="14" t="inlineStr">
        <is>
          <t>Tháng 03/2026</t>
        </is>
      </c>
      <c r="D53" s="16" t="inlineStr">
        <is>
          <t>Văn phòng &amp; Hành chính Tổng hợp</t>
        </is>
      </c>
      <c r="E53" s="16" t="inlineStr">
        <is>
          <t>Lê Hoàng Nam</t>
        </is>
      </c>
      <c r="F53" s="16" t="inlineStr">
        <is>
          <t>Soạn thảo &amp; Ban hành Văn bản điều hành</t>
        </is>
      </c>
      <c r="G53" s="14" t="inlineStr">
        <is>
          <t>Quan trọng (Trung bình)</t>
        </is>
      </c>
      <c r="H53" s="16" t="inlineStr">
        <is>
          <t>Phần mềm Quản lý (E-Office)</t>
        </is>
      </c>
      <c r="I53" s="17" t="n">
        <v>143</v>
      </c>
      <c r="J53" s="17" t="n">
        <v>124</v>
      </c>
      <c r="K53" s="18">
        <f>J53/I53</f>
        <v/>
      </c>
      <c r="L53" s="17" t="n">
        <v>50000000</v>
      </c>
      <c r="M53" s="17" t="n">
        <v>36600000</v>
      </c>
      <c r="N53" s="18">
        <f>M53/L53</f>
        <v/>
      </c>
      <c r="O53" s="17">
        <f>L53-M53</f>
        <v/>
      </c>
      <c r="P53" s="17" t="n">
        <v>285</v>
      </c>
      <c r="Q53" s="14" t="inlineStr">
        <is>
          <t>Hoàn thành</t>
        </is>
      </c>
      <c r="R53" s="14">
        <f>IF(OR(K53&lt;0.75, N53&gt;1.0, Q53="Quá hạn xử lý"), "Rủi ro Cao (Cần xử lý)", IF(K53&lt;0.88, "Rủi ro Trung bình", "An toàn / Tốt"))</f>
        <v/>
      </c>
    </row>
    <row r="54">
      <c r="A54" s="10" t="inlineStr">
        <is>
          <t>NV-051</t>
        </is>
      </c>
      <c r="B54" s="11" t="n">
        <v>46148</v>
      </c>
      <c r="C54" s="10" t="inlineStr">
        <is>
          <t>Tháng 05/2026</t>
        </is>
      </c>
      <c r="D54" s="5" t="inlineStr">
        <is>
          <t>Phòng Tổ chức - Nhân sự &amp; Đào tạo</t>
        </is>
      </c>
      <c r="E54" s="5" t="inlineStr">
        <is>
          <t>Đỗ Thị Thu Hà</t>
        </is>
      </c>
      <c r="F54" s="5" t="inlineStr">
        <is>
          <t>Soạn thảo &amp; Ban hành Văn bản điều hành</t>
        </is>
      </c>
      <c r="G54" s="10" t="inlineStr">
        <is>
          <t>Quan trọng (Trung bình)</t>
        </is>
      </c>
      <c r="H54" s="5" t="inlineStr">
        <is>
          <t>Tự động hóa bằng AI Agent</t>
        </is>
      </c>
      <c r="I54" s="12" t="n">
        <v>82</v>
      </c>
      <c r="J54" s="12" t="n">
        <v>79</v>
      </c>
      <c r="K54" s="13">
        <f>J54/I54</f>
        <v/>
      </c>
      <c r="L54" s="12" t="n">
        <v>169500000</v>
      </c>
      <c r="M54" s="12" t="n">
        <v>131300000</v>
      </c>
      <c r="N54" s="13">
        <f>M54/L54</f>
        <v/>
      </c>
      <c r="O54" s="12">
        <f>L54-M54</f>
        <v/>
      </c>
      <c r="P54" s="12" t="n">
        <v>119</v>
      </c>
      <c r="Q54" s="10" t="inlineStr">
        <is>
          <t>Đang thực hiện</t>
        </is>
      </c>
      <c r="R54" s="10">
        <f>IF(OR(K54&lt;0.75, N54&gt;1.0, Q54="Quá hạn xử lý"), "Rủi ro Cao (Cần xử lý)", IF(K54&lt;0.88, "Rủi ro Trung bình", "An toàn / Tốt"))</f>
        <v/>
      </c>
    </row>
    <row r="55">
      <c r="A55" s="14" t="inlineStr">
        <is>
          <t>NV-052</t>
        </is>
      </c>
      <c r="B55" s="15" t="n">
        <v>46054</v>
      </c>
      <c r="C55" s="14" t="inlineStr">
        <is>
          <t>Tháng 02/2026</t>
        </is>
      </c>
      <c r="D55" s="16" t="inlineStr">
        <is>
          <t>Phòng Tổ chức - Nhân sự &amp; Đào tạo</t>
        </is>
      </c>
      <c r="E55" s="16" t="inlineStr">
        <is>
          <t>Lý Minh Khôi</t>
        </is>
      </c>
      <c r="F55" s="16" t="inlineStr">
        <is>
          <t>Thẩm định Hồ sơ đấu thầu &amp; Mua sắm</t>
        </is>
      </c>
      <c r="G55" s="14" t="inlineStr">
        <is>
          <t>Khẩn cấp (Cao)</t>
        </is>
      </c>
      <c r="H55" s="16" t="inlineStr">
        <is>
          <t>Xử lý Thủ công (Hồ sơ giấy)</t>
        </is>
      </c>
      <c r="I55" s="17" t="n">
        <v>31</v>
      </c>
      <c r="J55" s="17" t="n">
        <v>21</v>
      </c>
      <c r="K55" s="18">
        <f>J55/I55</f>
        <v/>
      </c>
      <c r="L55" s="17" t="n">
        <v>129000000</v>
      </c>
      <c r="M55" s="17" t="n">
        <v>119900000</v>
      </c>
      <c r="N55" s="18">
        <f>M55/L55</f>
        <v/>
      </c>
      <c r="O55" s="17">
        <f>L55-M55</f>
        <v/>
      </c>
      <c r="P55" s="17" t="n">
        <v>111</v>
      </c>
      <c r="Q55" s="14" t="inlineStr">
        <is>
          <t>Quá hạn xử lý</t>
        </is>
      </c>
      <c r="R55" s="14">
        <f>IF(OR(K55&lt;0.75, N55&gt;1.0, Q55="Quá hạn xử lý"), "Rủi ro Cao (Cần xử lý)", IF(K55&lt;0.88, "Rủi ro Trung bình", "An toàn / Tốt"))</f>
        <v/>
      </c>
    </row>
    <row r="56">
      <c r="A56" s="10" t="inlineStr">
        <is>
          <t>NV-053</t>
        </is>
      </c>
      <c r="B56" s="11" t="n">
        <v>46061</v>
      </c>
      <c r="C56" s="10" t="inlineStr">
        <is>
          <t>Tháng 02/2026</t>
        </is>
      </c>
      <c r="D56" s="5" t="inlineStr">
        <is>
          <t>Trung tâm Công nghệ &amp; Chuyển đổi số</t>
        </is>
      </c>
      <c r="E56" s="5" t="inlineStr">
        <is>
          <t>Bùi Thanh Tùng</t>
        </is>
      </c>
      <c r="F56" s="5" t="inlineStr">
        <is>
          <t>Thanh quyết toán &amp; Giải ngân Dự án</t>
        </is>
      </c>
      <c r="G56" s="10" t="inlineStr">
        <is>
          <t>Định kỳ (Thấp)</t>
        </is>
      </c>
      <c r="H56" s="5" t="inlineStr">
        <is>
          <t>Bán tự động (Excel + Biểu mẫu)</t>
        </is>
      </c>
      <c r="I56" s="12" t="n">
        <v>46</v>
      </c>
      <c r="J56" s="12" t="n">
        <v>36</v>
      </c>
      <c r="K56" s="13">
        <f>J56/I56</f>
        <v/>
      </c>
      <c r="L56" s="12" t="n">
        <v>478500000</v>
      </c>
      <c r="M56" s="12" t="n">
        <v>350100000</v>
      </c>
      <c r="N56" s="13">
        <f>M56/L56</f>
        <v/>
      </c>
      <c r="O56" s="12">
        <f>L56-M56</f>
        <v/>
      </c>
      <c r="P56" s="12" t="n">
        <v>98</v>
      </c>
      <c r="Q56" s="10" t="inlineStr">
        <is>
          <t>Hoàn thành</t>
        </is>
      </c>
      <c r="R56" s="10">
        <f>IF(OR(K56&lt;0.75, N56&gt;1.0, Q56="Quá hạn xử lý"), "Rủi ro Cao (Cần xử lý)", IF(K56&lt;0.88, "Rủi ro Trung bình", "An toàn / Tốt"))</f>
        <v/>
      </c>
    </row>
    <row r="57">
      <c r="A57" s="14" t="inlineStr">
        <is>
          <t>NV-054</t>
        </is>
      </c>
      <c r="B57" s="15" t="n">
        <v>46090</v>
      </c>
      <c r="C57" s="14" t="inlineStr">
        <is>
          <t>Tháng 03/2026</t>
        </is>
      </c>
      <c r="D57" s="16" t="inlineStr">
        <is>
          <t>Trung tâm Công nghệ &amp; Chuyển đổi số</t>
        </is>
      </c>
      <c r="E57" s="16" t="inlineStr">
        <is>
          <t>Bùi Thanh Tùng</t>
        </is>
      </c>
      <c r="F57" s="16" t="inlineStr">
        <is>
          <t>Thẩm định Hồ sơ đấu thầu &amp; Mua sắm</t>
        </is>
      </c>
      <c r="G57" s="14" t="inlineStr">
        <is>
          <t>Khẩn cấp (Cao)</t>
        </is>
      </c>
      <c r="H57" s="16" t="inlineStr">
        <is>
          <t>Bán tự động (Excel + Biểu mẫu)</t>
        </is>
      </c>
      <c r="I57" s="17" t="n">
        <v>17</v>
      </c>
      <c r="J57" s="17" t="n">
        <v>13</v>
      </c>
      <c r="K57" s="18">
        <f>J57/I57</f>
        <v/>
      </c>
      <c r="L57" s="17" t="n">
        <v>427500000</v>
      </c>
      <c r="M57" s="17" t="n">
        <v>452500000</v>
      </c>
      <c r="N57" s="18">
        <f>M57/L57</f>
        <v/>
      </c>
      <c r="O57" s="17">
        <f>L57-M57</f>
        <v/>
      </c>
      <c r="P57" s="17" t="n">
        <v>22</v>
      </c>
      <c r="Q57" s="14" t="inlineStr">
        <is>
          <t>Quá hạn xử lý</t>
        </is>
      </c>
      <c r="R57" s="14">
        <f>IF(OR(K57&lt;0.75, N57&gt;1.0, Q57="Quá hạn xử lý"), "Rủi ro Cao (Cần xử lý)", IF(K57&lt;0.88, "Rủi ro Trung bình", "An toàn / Tốt"))</f>
        <v/>
      </c>
    </row>
    <row r="58">
      <c r="A58" s="10" t="inlineStr">
        <is>
          <t>NV-055</t>
        </is>
      </c>
      <c r="B58" s="11" t="n">
        <v>46132</v>
      </c>
      <c r="C58" s="10" t="inlineStr">
        <is>
          <t>Tháng 04/2026</t>
        </is>
      </c>
      <c r="D58" s="5" t="inlineStr">
        <is>
          <t>Phòng Kế hoạch - Tài chính</t>
        </is>
      </c>
      <c r="E58" s="5" t="inlineStr">
        <is>
          <t>Phạm Minh Đức</t>
        </is>
      </c>
      <c r="F58" s="5" t="inlineStr">
        <is>
          <t>Thẩm định Hồ sơ đấu thầu &amp; Mua sắm</t>
        </is>
      </c>
      <c r="G58" s="10" t="inlineStr">
        <is>
          <t>Quan trọng (Trung bình)</t>
        </is>
      </c>
      <c r="H58" s="5" t="inlineStr">
        <is>
          <t>Phần mềm Quản lý (E-Office)</t>
        </is>
      </c>
      <c r="I58" s="12" t="n">
        <v>149</v>
      </c>
      <c r="J58" s="12" t="n">
        <v>136</v>
      </c>
      <c r="K58" s="13">
        <f>J58/I58</f>
        <v/>
      </c>
      <c r="L58" s="12" t="n">
        <v>225000000</v>
      </c>
      <c r="M58" s="12" t="n">
        <v>162100000</v>
      </c>
      <c r="N58" s="13">
        <f>M58/L58</f>
        <v/>
      </c>
      <c r="O58" s="12">
        <f>L58-M58</f>
        <v/>
      </c>
      <c r="P58" s="12" t="n">
        <v>226</v>
      </c>
      <c r="Q58" s="10" t="inlineStr">
        <is>
          <t>Hoàn thành</t>
        </is>
      </c>
      <c r="R58" s="10">
        <f>IF(OR(K58&lt;0.75, N58&gt;1.0, Q58="Quá hạn xử lý"), "Rủi ro Cao (Cần xử lý)", IF(K58&lt;0.88, "Rủi ro Trung bình", "An toàn / Tốt"))</f>
        <v/>
      </c>
    </row>
    <row r="59">
      <c r="A59" s="14" t="inlineStr">
        <is>
          <t>NV-056</t>
        </is>
      </c>
      <c r="B59" s="15" t="n">
        <v>46194</v>
      </c>
      <c r="C59" s="14" t="inlineStr">
        <is>
          <t>Tháng 06/2026</t>
        </is>
      </c>
      <c r="D59" s="16" t="inlineStr">
        <is>
          <t>Phòng Kế hoạch - Tài chính</t>
        </is>
      </c>
      <c r="E59" s="16" t="inlineStr">
        <is>
          <t>Đặng Quốc Khánh</t>
        </is>
      </c>
      <c r="F59" s="16" t="inlineStr">
        <is>
          <t>Thanh quyết toán &amp; Giải ngân Dự án</t>
        </is>
      </c>
      <c r="G59" s="14" t="inlineStr">
        <is>
          <t>Định kỳ (Thấp)</t>
        </is>
      </c>
      <c r="H59" s="16" t="inlineStr">
        <is>
          <t>Tự động hóa bằng AI Agent</t>
        </is>
      </c>
      <c r="I59" s="17" t="n">
        <v>129</v>
      </c>
      <c r="J59" s="17" t="n">
        <v>123</v>
      </c>
      <c r="K59" s="18">
        <f>J59/I59</f>
        <v/>
      </c>
      <c r="L59" s="17" t="n">
        <v>229000000</v>
      </c>
      <c r="M59" s="17" t="n">
        <v>187000000</v>
      </c>
      <c r="N59" s="18">
        <f>M59/L59</f>
        <v/>
      </c>
      <c r="O59" s="17">
        <f>L59-M59</f>
        <v/>
      </c>
      <c r="P59" s="17" t="n">
        <v>201</v>
      </c>
      <c r="Q59" s="14" t="inlineStr">
        <is>
          <t>Hoàn thành</t>
        </is>
      </c>
      <c r="R59" s="14">
        <f>IF(OR(K59&lt;0.75, N59&gt;1.0, Q59="Quá hạn xử lý"), "Rủi ro Cao (Cần xử lý)", IF(K59&lt;0.88, "Rủi ro Trung bình", "An toàn / Tốt"))</f>
        <v/>
      </c>
    </row>
    <row r="60">
      <c r="A60" s="10" t="inlineStr">
        <is>
          <t>NV-057</t>
        </is>
      </c>
      <c r="B60" s="11" t="n">
        <v>46132</v>
      </c>
      <c r="C60" s="10" t="inlineStr">
        <is>
          <t>Tháng 04/2026</t>
        </is>
      </c>
      <c r="D60" s="5" t="inlineStr">
        <is>
          <t>Văn phòng &amp; Hành chính Tổng hợp</t>
        </is>
      </c>
      <c r="E60" s="5" t="inlineStr">
        <is>
          <t>Trần Thị Mai</t>
        </is>
      </c>
      <c r="F60" s="5" t="inlineStr">
        <is>
          <t>Tổ chức Hội nghị, Tập huấn &amp; Đào tạo</t>
        </is>
      </c>
      <c r="G60" s="10" t="inlineStr">
        <is>
          <t>Khẩn cấp (Cao)</t>
        </is>
      </c>
      <c r="H60" s="5" t="inlineStr">
        <is>
          <t>Phần mềm Quản lý (E-Office)</t>
        </is>
      </c>
      <c r="I60" s="12" t="n">
        <v>123</v>
      </c>
      <c r="J60" s="12" t="n">
        <v>113</v>
      </c>
      <c r="K60" s="13">
        <f>J60/I60</f>
        <v/>
      </c>
      <c r="L60" s="12" t="n">
        <v>46500000</v>
      </c>
      <c r="M60" s="12" t="n">
        <v>46000000</v>
      </c>
      <c r="N60" s="13">
        <f>M60/L60</f>
        <v/>
      </c>
      <c r="O60" s="12">
        <f>L60-M60</f>
        <v/>
      </c>
      <c r="P60" s="12" t="n">
        <v>191</v>
      </c>
      <c r="Q60" s="10" t="inlineStr">
        <is>
          <t>Hoàn thành</t>
        </is>
      </c>
      <c r="R60" s="10">
        <f>IF(OR(K60&lt;0.75, N60&gt;1.0, Q60="Quá hạn xử lý"), "Rủi ro Cao (Cần xử lý)", IF(K60&lt;0.88, "Rủi ro Trung bình", "An toàn / Tốt"))</f>
        <v/>
      </c>
    </row>
    <row r="61">
      <c r="A61" s="14" t="inlineStr">
        <is>
          <t>NV-058</t>
        </is>
      </c>
      <c r="B61" s="15" t="n">
        <v>46170</v>
      </c>
      <c r="C61" s="14" t="inlineStr">
        <is>
          <t>Tháng 05/2026</t>
        </is>
      </c>
      <c r="D61" s="16" t="inlineStr">
        <is>
          <t>Phòng Tổ chức - Nhân sự &amp; Đào tạo</t>
        </is>
      </c>
      <c r="E61" s="16" t="inlineStr">
        <is>
          <t>Đỗ Thị Thu Hà</t>
        </is>
      </c>
      <c r="F61" s="16" t="inlineStr">
        <is>
          <t>Soạn thảo &amp; Ban hành Văn bản điều hành</t>
        </is>
      </c>
      <c r="G61" s="14" t="inlineStr">
        <is>
          <t>Quan trọng (Trung bình)</t>
        </is>
      </c>
      <c r="H61" s="16" t="inlineStr">
        <is>
          <t>Phần mềm Quản lý (E-Office)</t>
        </is>
      </c>
      <c r="I61" s="17" t="n">
        <v>72</v>
      </c>
      <c r="J61" s="17" t="n">
        <v>61</v>
      </c>
      <c r="K61" s="18">
        <f>J61/I61</f>
        <v/>
      </c>
      <c r="L61" s="17" t="n">
        <v>177000000</v>
      </c>
      <c r="M61" s="17" t="n">
        <v>147800000</v>
      </c>
      <c r="N61" s="18">
        <f>M61/L61</f>
        <v/>
      </c>
      <c r="O61" s="17">
        <f>L61-M61</f>
        <v/>
      </c>
      <c r="P61" s="17" t="n">
        <v>115</v>
      </c>
      <c r="Q61" s="14" t="inlineStr">
        <is>
          <t>Hoàn thành</t>
        </is>
      </c>
      <c r="R61" s="14">
        <f>IF(OR(K61&lt;0.75, N61&gt;1.0, Q61="Quá hạn xử lý"), "Rủi ro Cao (Cần xử lý)", IF(K61&lt;0.88, "Rủi ro Trung bình", "An toàn / Tốt"))</f>
        <v/>
      </c>
    </row>
    <row r="62">
      <c r="A62" s="10" t="inlineStr">
        <is>
          <t>NV-059</t>
        </is>
      </c>
      <c r="B62" s="11" t="n">
        <v>46195</v>
      </c>
      <c r="C62" s="10" t="inlineStr">
        <is>
          <t>Tháng 06/2026</t>
        </is>
      </c>
      <c r="D62" s="5" t="inlineStr">
        <is>
          <t>Văn phòng &amp; Hành chính Tổng hợp</t>
        </is>
      </c>
      <c r="E62" s="5" t="inlineStr">
        <is>
          <t>Nguyễn Văn Hùng</t>
        </is>
      </c>
      <c r="F62" s="5" t="inlineStr">
        <is>
          <t>Tổ chức Hội nghị, Tập huấn &amp; Đào tạo</t>
        </is>
      </c>
      <c r="G62" s="10" t="inlineStr">
        <is>
          <t>Quan trọng (Trung bình)</t>
        </is>
      </c>
      <c r="H62" s="5" t="inlineStr">
        <is>
          <t>Tự động hóa bằng AI Agent</t>
        </is>
      </c>
      <c r="I62" s="12" t="n">
        <v>53</v>
      </c>
      <c r="J62" s="12" t="n">
        <v>53</v>
      </c>
      <c r="K62" s="13">
        <f>J62/I62</f>
        <v/>
      </c>
      <c r="L62" s="12" t="n">
        <v>27500000</v>
      </c>
      <c r="M62" s="12" t="n">
        <v>28300000</v>
      </c>
      <c r="N62" s="13">
        <f>M62/L62</f>
        <v/>
      </c>
      <c r="O62" s="12">
        <f>L62-M62</f>
        <v/>
      </c>
      <c r="P62" s="12" t="n">
        <v>58</v>
      </c>
      <c r="Q62" s="10" t="inlineStr">
        <is>
          <t>Đang thực hiện</t>
        </is>
      </c>
      <c r="R62" s="10">
        <f>IF(OR(K62&lt;0.75, N62&gt;1.0, Q62="Quá hạn xử lý"), "Rủi ro Cao (Cần xử lý)", IF(K62&lt;0.88, "Rủi ro Trung bình", "An toàn / Tốt"))</f>
        <v/>
      </c>
    </row>
    <row r="63">
      <c r="A63" s="14" t="inlineStr">
        <is>
          <t>NV-060</t>
        </is>
      </c>
      <c r="B63" s="15" t="n">
        <v>46091</v>
      </c>
      <c r="C63" s="14" t="inlineStr">
        <is>
          <t>Tháng 03/2026</t>
        </is>
      </c>
      <c r="D63" s="16" t="inlineStr">
        <is>
          <t>Trung tâm Công nghệ &amp; Chuyển đổi số</t>
        </is>
      </c>
      <c r="E63" s="16" t="inlineStr">
        <is>
          <t>Bùi Thanh Tùng</t>
        </is>
      </c>
      <c r="F63" s="16" t="inlineStr">
        <is>
          <t>Thẩm định Hồ sơ đấu thầu &amp; Mua sắm</t>
        </is>
      </c>
      <c r="G63" s="14" t="inlineStr">
        <is>
          <t>Quan trọng (Trung bình)</t>
        </is>
      </c>
      <c r="H63" s="16" t="inlineStr">
        <is>
          <t>Xử lý Thủ công (Hồ sơ giấy)</t>
        </is>
      </c>
      <c r="I63" s="17" t="n">
        <v>67</v>
      </c>
      <c r="J63" s="17" t="n">
        <v>44</v>
      </c>
      <c r="K63" s="18">
        <f>J63/I63</f>
        <v/>
      </c>
      <c r="L63" s="17" t="n">
        <v>399500000</v>
      </c>
      <c r="M63" s="17" t="n">
        <v>366800000</v>
      </c>
      <c r="N63" s="18">
        <f>M63/L63</f>
        <v/>
      </c>
      <c r="O63" s="17">
        <f>L63-M63</f>
        <v/>
      </c>
      <c r="P63" s="17" t="n">
        <v>216</v>
      </c>
      <c r="Q63" s="14" t="inlineStr">
        <is>
          <t>Đang thực hiện</t>
        </is>
      </c>
      <c r="R63" s="14">
        <f>IF(OR(K63&lt;0.75, N63&gt;1.0, Q63="Quá hạn xử lý"), "Rủi ro Cao (Cần xử lý)", IF(K63&lt;0.88, "Rủi ro Trung bình", "An toàn / Tốt"))</f>
        <v/>
      </c>
    </row>
    <row r="64">
      <c r="A64" s="10" t="inlineStr">
        <is>
          <t>NV-061</t>
        </is>
      </c>
      <c r="B64" s="11" t="n">
        <v>46036</v>
      </c>
      <c r="C64" s="10" t="inlineStr">
        <is>
          <t>Tháng 01/2026</t>
        </is>
      </c>
      <c r="D64" s="5" t="inlineStr">
        <is>
          <t>Phòng Tổ chức - Nhân sự &amp; Đào tạo</t>
        </is>
      </c>
      <c r="E64" s="5" t="inlineStr">
        <is>
          <t>Đỗ Thị Thu Hà</t>
        </is>
      </c>
      <c r="F64" s="5" t="inlineStr">
        <is>
          <t>Thẩm định Hồ sơ đấu thầu &amp; Mua sắm</t>
        </is>
      </c>
      <c r="G64" s="10" t="inlineStr">
        <is>
          <t>Định kỳ (Thấp)</t>
        </is>
      </c>
      <c r="H64" s="5" t="inlineStr">
        <is>
          <t>Bán tự động (Excel + Biểu mẫu)</t>
        </is>
      </c>
      <c r="I64" s="12" t="n">
        <v>106</v>
      </c>
      <c r="J64" s="12" t="n">
        <v>87</v>
      </c>
      <c r="K64" s="13">
        <f>J64/I64</f>
        <v/>
      </c>
      <c r="L64" s="12" t="n">
        <v>52000000</v>
      </c>
      <c r="M64" s="12" t="n">
        <v>49900000</v>
      </c>
      <c r="N64" s="13">
        <f>M64/L64</f>
        <v/>
      </c>
      <c r="O64" s="12">
        <f>L64-M64</f>
        <v/>
      </c>
      <c r="P64" s="12" t="n">
        <v>134</v>
      </c>
      <c r="Q64" s="10" t="inlineStr">
        <is>
          <t>Hoàn thành</t>
        </is>
      </c>
      <c r="R64" s="10">
        <f>IF(OR(K64&lt;0.75, N64&gt;1.0, Q64="Quá hạn xử lý"), "Rủi ro Cao (Cần xử lý)", IF(K64&lt;0.88, "Rủi ro Trung bình", "An toàn / Tốt"))</f>
        <v/>
      </c>
    </row>
    <row r="65">
      <c r="A65" s="14" t="inlineStr">
        <is>
          <t>NV-062</t>
        </is>
      </c>
      <c r="B65" s="15" t="n">
        <v>46061</v>
      </c>
      <c r="C65" s="14" t="inlineStr">
        <is>
          <t>Tháng 02/2026</t>
        </is>
      </c>
      <c r="D65" s="16" t="inlineStr">
        <is>
          <t>Phòng Kế hoạch - Tài chính</t>
        </is>
      </c>
      <c r="E65" s="16" t="inlineStr">
        <is>
          <t>Đặng Quốc Khánh</t>
        </is>
      </c>
      <c r="F65" s="16" t="inlineStr">
        <is>
          <t>Thanh quyết toán &amp; Giải ngân Dự án</t>
        </is>
      </c>
      <c r="G65" s="14" t="inlineStr">
        <is>
          <t>Quan trọng (Trung bình)</t>
        </is>
      </c>
      <c r="H65" s="16" t="inlineStr">
        <is>
          <t>Phần mềm Quản lý (E-Office)</t>
        </is>
      </c>
      <c r="I65" s="17" t="n">
        <v>62</v>
      </c>
      <c r="J65" s="17" t="n">
        <v>55</v>
      </c>
      <c r="K65" s="18">
        <f>J65/I65</f>
        <v/>
      </c>
      <c r="L65" s="17" t="n">
        <v>213000000</v>
      </c>
      <c r="M65" s="17" t="n">
        <v>200200000</v>
      </c>
      <c r="N65" s="18">
        <f>M65/L65</f>
        <v/>
      </c>
      <c r="O65" s="17">
        <f>L65-M65</f>
        <v/>
      </c>
      <c r="P65" s="17" t="n">
        <v>105</v>
      </c>
      <c r="Q65" s="14" t="inlineStr">
        <is>
          <t>Hoàn thành</t>
        </is>
      </c>
      <c r="R65" s="14">
        <f>IF(OR(K65&lt;0.75, N65&gt;1.0, Q65="Quá hạn xử lý"), "Rủi ro Cao (Cần xử lý)", IF(K65&lt;0.88, "Rủi ro Trung bình", "An toàn / Tốt"))</f>
        <v/>
      </c>
    </row>
    <row r="66">
      <c r="A66" s="10" t="inlineStr">
        <is>
          <t>NV-063</t>
        </is>
      </c>
      <c r="B66" s="11" t="n">
        <v>46182</v>
      </c>
      <c r="C66" s="10" t="inlineStr">
        <is>
          <t>Tháng 06/2026</t>
        </is>
      </c>
      <c r="D66" s="5" t="inlineStr">
        <is>
          <t>Phòng Pháp chế &amp; Kiểm soát nội bộ</t>
        </is>
      </c>
      <c r="E66" s="5" t="inlineStr">
        <is>
          <t>Phan Thanh Thảo</t>
        </is>
      </c>
      <c r="F66" s="5" t="inlineStr">
        <is>
          <t>Triển khai Hạ tầng &amp; Phần mềm AI nội bộ</t>
        </is>
      </c>
      <c r="G66" s="10" t="inlineStr">
        <is>
          <t>Khẩn cấp (Cao)</t>
        </is>
      </c>
      <c r="H66" s="5" t="inlineStr">
        <is>
          <t>Xử lý Thủ công (Hồ sơ giấy)</t>
        </is>
      </c>
      <c r="I66" s="12" t="n">
        <v>65</v>
      </c>
      <c r="J66" s="12" t="n">
        <v>42</v>
      </c>
      <c r="K66" s="13">
        <f>J66/I66</f>
        <v/>
      </c>
      <c r="L66" s="12" t="n">
        <v>33000000</v>
      </c>
      <c r="M66" s="12" t="n">
        <v>35300000</v>
      </c>
      <c r="N66" s="13">
        <f>M66/L66</f>
        <v/>
      </c>
      <c r="O66" s="12">
        <f>L66-M66</f>
        <v/>
      </c>
      <c r="P66" s="12" t="n">
        <v>165</v>
      </c>
      <c r="Q66" s="10" t="inlineStr">
        <is>
          <t>Quá hạn xử lý</t>
        </is>
      </c>
      <c r="R66" s="10">
        <f>IF(OR(K66&lt;0.75, N66&gt;1.0, Q66="Quá hạn xử lý"), "Rủi ro Cao (Cần xử lý)", IF(K66&lt;0.88, "Rủi ro Trung bình", "An toàn / Tốt"))</f>
        <v/>
      </c>
    </row>
    <row r="67">
      <c r="A67" s="14" t="inlineStr">
        <is>
          <t>NV-064</t>
        </is>
      </c>
      <c r="B67" s="15" t="n">
        <v>46185</v>
      </c>
      <c r="C67" s="14" t="inlineStr">
        <is>
          <t>Tháng 06/2026</t>
        </is>
      </c>
      <c r="D67" s="16" t="inlineStr">
        <is>
          <t>Văn phòng &amp; Hành chính Tổng hợp</t>
        </is>
      </c>
      <c r="E67" s="16" t="inlineStr">
        <is>
          <t>Trần Thị Mai</t>
        </is>
      </c>
      <c r="F67" s="16" t="inlineStr">
        <is>
          <t>Soạn thảo &amp; Ban hành Văn bản điều hành</t>
        </is>
      </c>
      <c r="G67" s="14" t="inlineStr">
        <is>
          <t>Định kỳ (Thấp)</t>
        </is>
      </c>
      <c r="H67" s="16" t="inlineStr">
        <is>
          <t>Phần mềm Quản lý (E-Office)</t>
        </is>
      </c>
      <c r="I67" s="17" t="n">
        <v>135</v>
      </c>
      <c r="J67" s="17" t="n">
        <v>114</v>
      </c>
      <c r="K67" s="18">
        <f>J67/I67</f>
        <v/>
      </c>
      <c r="L67" s="17" t="n">
        <v>111500000</v>
      </c>
      <c r="M67" s="17" t="n">
        <v>104400000</v>
      </c>
      <c r="N67" s="18">
        <f>M67/L67</f>
        <v/>
      </c>
      <c r="O67" s="17">
        <f>L67-M67</f>
        <v/>
      </c>
      <c r="P67" s="17" t="n">
        <v>152</v>
      </c>
      <c r="Q67" s="14" t="inlineStr">
        <is>
          <t>Đang thực hiện</t>
        </is>
      </c>
      <c r="R67" s="14">
        <f>IF(OR(K67&lt;0.75, N67&gt;1.0, Q67="Quá hạn xử lý"), "Rủi ro Cao (Cần xử lý)", IF(K67&lt;0.88, "Rủi ro Trung bình", "An toàn / Tốt"))</f>
        <v/>
      </c>
    </row>
    <row r="68">
      <c r="A68" s="10" t="inlineStr">
        <is>
          <t>NV-065</t>
        </is>
      </c>
      <c r="B68" s="11" t="n">
        <v>46078</v>
      </c>
      <c r="C68" s="10" t="inlineStr">
        <is>
          <t>Tháng 02/2026</t>
        </is>
      </c>
      <c r="D68" s="5" t="inlineStr">
        <is>
          <t>Ban Quản lý Dự án Đầu tư &amp; Hạ tầng</t>
        </is>
      </c>
      <c r="E68" s="5" t="inlineStr">
        <is>
          <t>Đinh Quốc Huy</t>
        </is>
      </c>
      <c r="F68" s="5" t="inlineStr">
        <is>
          <t>Thẩm định Hồ sơ đấu thầu &amp; Mua sắm</t>
        </is>
      </c>
      <c r="G68" s="10" t="inlineStr">
        <is>
          <t>Quan trọng (Trung bình)</t>
        </is>
      </c>
      <c r="H68" s="5" t="inlineStr">
        <is>
          <t>Phần mềm Quản lý (E-Office)</t>
        </is>
      </c>
      <c r="I68" s="12" t="n">
        <v>20</v>
      </c>
      <c r="J68" s="12" t="n">
        <v>17</v>
      </c>
      <c r="K68" s="13">
        <f>J68/I68</f>
        <v/>
      </c>
      <c r="L68" s="12" t="n">
        <v>246500000</v>
      </c>
      <c r="M68" s="12" t="n">
        <v>146500000</v>
      </c>
      <c r="N68" s="13">
        <f>M68/L68</f>
        <v/>
      </c>
      <c r="O68" s="12">
        <f>L68-M68</f>
        <v/>
      </c>
      <c r="P68" s="12" t="n">
        <v>35</v>
      </c>
      <c r="Q68" s="10" t="inlineStr">
        <is>
          <t>Hoàn thành</t>
        </is>
      </c>
      <c r="R68" s="10">
        <f>IF(OR(K68&lt;0.75, N68&gt;1.0, Q68="Quá hạn xử lý"), "Rủi ro Cao (Cần xử lý)", IF(K68&lt;0.88, "Rủi ro Trung bình", "An toàn / Tốt"))</f>
        <v/>
      </c>
    </row>
    <row r="69">
      <c r="A69" s="14" t="inlineStr">
        <is>
          <t>NV-066</t>
        </is>
      </c>
      <c r="B69" s="15" t="n">
        <v>46082</v>
      </c>
      <c r="C69" s="14" t="inlineStr">
        <is>
          <t>Tháng 03/2026</t>
        </is>
      </c>
      <c r="D69" s="16" t="inlineStr">
        <is>
          <t>Văn phòng &amp; Hành chính Tổng hợp</t>
        </is>
      </c>
      <c r="E69" s="16" t="inlineStr">
        <is>
          <t>Nguyễn Văn Hùng</t>
        </is>
      </c>
      <c r="F69" s="16" t="inlineStr">
        <is>
          <t>Soạn thảo &amp; Ban hành Văn bản điều hành</t>
        </is>
      </c>
      <c r="G69" s="14" t="inlineStr">
        <is>
          <t>Khẩn cấp (Cao)</t>
        </is>
      </c>
      <c r="H69" s="16" t="inlineStr">
        <is>
          <t>Tự động hóa bằng AI Agent</t>
        </is>
      </c>
      <c r="I69" s="17" t="n">
        <v>156</v>
      </c>
      <c r="J69" s="17" t="n">
        <v>155</v>
      </c>
      <c r="K69" s="18">
        <f>J69/I69</f>
        <v/>
      </c>
      <c r="L69" s="17" t="n">
        <v>35500000</v>
      </c>
      <c r="M69" s="17" t="n">
        <v>37700000</v>
      </c>
      <c r="N69" s="18">
        <f>M69/L69</f>
        <v/>
      </c>
      <c r="O69" s="17">
        <f>L69-M69</f>
        <v/>
      </c>
      <c r="P69" s="17" t="n">
        <v>283</v>
      </c>
      <c r="Q69" s="14" t="inlineStr">
        <is>
          <t>Quá hạn xử lý</t>
        </is>
      </c>
      <c r="R69" s="14">
        <f>IF(OR(K69&lt;0.75, N69&gt;1.0, Q69="Quá hạn xử lý"), "Rủi ro Cao (Cần xử lý)", IF(K69&lt;0.88, "Rủi ro Trung bình", "An toàn / Tốt"))</f>
        <v/>
      </c>
    </row>
    <row r="70">
      <c r="A70" s="10" t="inlineStr">
        <is>
          <t>NV-067</t>
        </is>
      </c>
      <c r="B70" s="11" t="n">
        <v>46050</v>
      </c>
      <c r="C70" s="10" t="inlineStr">
        <is>
          <t>Tháng 01/2026</t>
        </is>
      </c>
      <c r="D70" s="5" t="inlineStr">
        <is>
          <t>Văn phòng &amp; Hành chính Tổng hợp</t>
        </is>
      </c>
      <c r="E70" s="5" t="inlineStr">
        <is>
          <t>Lê Hoàng Nam</t>
        </is>
      </c>
      <c r="F70" s="5" t="inlineStr">
        <is>
          <t>Soạn thảo &amp; Ban hành Văn bản điều hành</t>
        </is>
      </c>
      <c r="G70" s="10" t="inlineStr">
        <is>
          <t>Định kỳ (Thấp)</t>
        </is>
      </c>
      <c r="H70" s="5" t="inlineStr">
        <is>
          <t>Tự động hóa bằng AI Agent</t>
        </is>
      </c>
      <c r="I70" s="12" t="n">
        <v>107</v>
      </c>
      <c r="J70" s="12" t="n">
        <v>101</v>
      </c>
      <c r="K70" s="13">
        <f>J70/I70</f>
        <v/>
      </c>
      <c r="L70" s="12" t="n">
        <v>71000000</v>
      </c>
      <c r="M70" s="12" t="n">
        <v>51900000</v>
      </c>
      <c r="N70" s="13">
        <f>M70/L70</f>
        <v/>
      </c>
      <c r="O70" s="12">
        <f>L70-M70</f>
        <v/>
      </c>
      <c r="P70" s="12" t="n">
        <v>121</v>
      </c>
      <c r="Q70" s="10" t="inlineStr">
        <is>
          <t>Hoàn thành</t>
        </is>
      </c>
      <c r="R70" s="10">
        <f>IF(OR(K70&lt;0.75, N70&gt;1.0, Q70="Quá hạn xử lý"), "Rủi ro Cao (Cần xử lý)", IF(K70&lt;0.88, "Rủi ro Trung bình", "An toàn / Tốt"))</f>
        <v/>
      </c>
    </row>
    <row r="71">
      <c r="A71" s="14" t="inlineStr">
        <is>
          <t>NV-068</t>
        </is>
      </c>
      <c r="B71" s="15" t="n">
        <v>46049</v>
      </c>
      <c r="C71" s="14" t="inlineStr">
        <is>
          <t>Tháng 01/2026</t>
        </is>
      </c>
      <c r="D71" s="16" t="inlineStr">
        <is>
          <t>Phòng Pháp chế &amp; Kiểm soát nội bộ</t>
        </is>
      </c>
      <c r="E71" s="16" t="inlineStr">
        <is>
          <t>Trương Quang Vinh</t>
        </is>
      </c>
      <c r="F71" s="16" t="inlineStr">
        <is>
          <t>Soạn thảo &amp; Ban hành Văn bản điều hành</t>
        </is>
      </c>
      <c r="G71" s="14" t="inlineStr">
        <is>
          <t>Quan trọng (Trung bình)</t>
        </is>
      </c>
      <c r="H71" s="16" t="inlineStr">
        <is>
          <t>Tự động hóa bằng AI Agent</t>
        </is>
      </c>
      <c r="I71" s="17" t="n">
        <v>55</v>
      </c>
      <c r="J71" s="17" t="n">
        <v>47</v>
      </c>
      <c r="K71" s="18">
        <f>J71/I71</f>
        <v/>
      </c>
      <c r="L71" s="17" t="n">
        <v>112000000</v>
      </c>
      <c r="M71" s="17" t="n">
        <v>88900000</v>
      </c>
      <c r="N71" s="18">
        <f>M71/L71</f>
        <v/>
      </c>
      <c r="O71" s="17">
        <f>L71-M71</f>
        <v/>
      </c>
      <c r="P71" s="17" t="n">
        <v>90</v>
      </c>
      <c r="Q71" s="14" t="inlineStr">
        <is>
          <t>Tạm dừng chờ duyệt</t>
        </is>
      </c>
      <c r="R71" s="14">
        <f>IF(OR(K71&lt;0.75, N71&gt;1.0, Q71="Quá hạn xử lý"), "Rủi ro Cao (Cần xử lý)", IF(K71&lt;0.88, "Rủi ro Trung bình", "An toàn / Tốt"))</f>
        <v/>
      </c>
    </row>
    <row r="72">
      <c r="A72" s="10" t="inlineStr">
        <is>
          <t>NV-069</t>
        </is>
      </c>
      <c r="B72" s="11" t="n">
        <v>46182</v>
      </c>
      <c r="C72" s="10" t="inlineStr">
        <is>
          <t>Tháng 06/2026</t>
        </is>
      </c>
      <c r="D72" s="5" t="inlineStr">
        <is>
          <t>Văn phòng &amp; Hành chính Tổng hợp</t>
        </is>
      </c>
      <c r="E72" s="5" t="inlineStr">
        <is>
          <t>Nguyễn Văn Hùng</t>
        </is>
      </c>
      <c r="F72" s="5" t="inlineStr">
        <is>
          <t>Tổ chức Hội nghị, Tập huấn &amp; Đào tạo</t>
        </is>
      </c>
      <c r="G72" s="10" t="inlineStr">
        <is>
          <t>Định kỳ (Thấp)</t>
        </is>
      </c>
      <c r="H72" s="5" t="inlineStr">
        <is>
          <t>Phần mềm Quản lý (E-Office)</t>
        </is>
      </c>
      <c r="I72" s="12" t="n">
        <v>167</v>
      </c>
      <c r="J72" s="12" t="n">
        <v>141</v>
      </c>
      <c r="K72" s="13">
        <f>J72/I72</f>
        <v/>
      </c>
      <c r="L72" s="12" t="n">
        <v>46500000</v>
      </c>
      <c r="M72" s="12" t="n">
        <v>36200000</v>
      </c>
      <c r="N72" s="13">
        <f>M72/L72</f>
        <v/>
      </c>
      <c r="O72" s="12">
        <f>L72-M72</f>
        <v/>
      </c>
      <c r="P72" s="12" t="n">
        <v>329</v>
      </c>
      <c r="Q72" s="10" t="inlineStr">
        <is>
          <t>Đang thực hiện</t>
        </is>
      </c>
      <c r="R72" s="10">
        <f>IF(OR(K72&lt;0.75, N72&gt;1.0, Q72="Quá hạn xử lý"), "Rủi ro Cao (Cần xử lý)", IF(K72&lt;0.88, "Rủi ro Trung bình", "An toàn / Tốt"))</f>
        <v/>
      </c>
    </row>
    <row r="73">
      <c r="A73" s="14" t="inlineStr">
        <is>
          <t>NV-070</t>
        </is>
      </c>
      <c r="B73" s="15" t="n">
        <v>46134</v>
      </c>
      <c r="C73" s="14" t="inlineStr">
        <is>
          <t>Tháng 04/2026</t>
        </is>
      </c>
      <c r="D73" s="16" t="inlineStr">
        <is>
          <t>Ban Quản lý Dự án Đầu tư &amp; Hạ tầng</t>
        </is>
      </c>
      <c r="E73" s="16" t="inlineStr">
        <is>
          <t>Mai Anh Tuấn</t>
        </is>
      </c>
      <c r="F73" s="16" t="inlineStr">
        <is>
          <t>Triển khai Hạ tầng &amp; Phần mềm AI nội bộ</t>
        </is>
      </c>
      <c r="G73" s="14" t="inlineStr">
        <is>
          <t>Khẩn cấp (Cao)</t>
        </is>
      </c>
      <c r="H73" s="16" t="inlineStr">
        <is>
          <t>Phần mềm Quản lý (E-Office)</t>
        </is>
      </c>
      <c r="I73" s="17" t="n">
        <v>33</v>
      </c>
      <c r="J73" s="17" t="n">
        <v>28</v>
      </c>
      <c r="K73" s="18">
        <f>J73/I73</f>
        <v/>
      </c>
      <c r="L73" s="17" t="n">
        <v>118000000</v>
      </c>
      <c r="M73" s="17" t="n">
        <v>122300000</v>
      </c>
      <c r="N73" s="18">
        <f>M73/L73</f>
        <v/>
      </c>
      <c r="O73" s="17">
        <f>L73-M73</f>
        <v/>
      </c>
      <c r="P73" s="17" t="n">
        <v>35</v>
      </c>
      <c r="Q73" s="14" t="inlineStr">
        <is>
          <t>Đang thực hiện</t>
        </is>
      </c>
      <c r="R73" s="14">
        <f>IF(OR(K73&lt;0.75, N73&gt;1.0, Q73="Quá hạn xử lý"), "Rủi ro Cao (Cần xử lý)", IF(K73&lt;0.88, "Rủi ro Trung bình", "An toàn / Tốt"))</f>
        <v/>
      </c>
    </row>
    <row r="74">
      <c r="A74" s="10" t="inlineStr">
        <is>
          <t>NV-071</t>
        </is>
      </c>
      <c r="B74" s="11" t="n">
        <v>46196</v>
      </c>
      <c r="C74" s="10" t="inlineStr">
        <is>
          <t>Tháng 06/2026</t>
        </is>
      </c>
      <c r="D74" s="5" t="inlineStr">
        <is>
          <t>Phòng Pháp chế &amp; Kiểm soát nội bộ</t>
        </is>
      </c>
      <c r="E74" s="5" t="inlineStr">
        <is>
          <t>Trương Quang Vinh</t>
        </is>
      </c>
      <c r="F74" s="5" t="inlineStr">
        <is>
          <t>Thanh quyết toán &amp; Giải ngân Dự án</t>
        </is>
      </c>
      <c r="G74" s="10" t="inlineStr">
        <is>
          <t>Định kỳ (Thấp)</t>
        </is>
      </c>
      <c r="H74" s="5" t="inlineStr">
        <is>
          <t>Tự động hóa bằng AI Agent</t>
        </is>
      </c>
      <c r="I74" s="12" t="n">
        <v>59</v>
      </c>
      <c r="J74" s="12" t="n">
        <v>53</v>
      </c>
      <c r="K74" s="13">
        <f>J74/I74</f>
        <v/>
      </c>
      <c r="L74" s="12" t="n">
        <v>48500000</v>
      </c>
      <c r="M74" s="12" t="n">
        <v>50900000</v>
      </c>
      <c r="N74" s="13">
        <f>M74/L74</f>
        <v/>
      </c>
      <c r="O74" s="12">
        <f>L74-M74</f>
        <v/>
      </c>
      <c r="P74" s="12" t="n">
        <v>82</v>
      </c>
      <c r="Q74" s="10" t="inlineStr">
        <is>
          <t>Quá hạn xử lý</t>
        </is>
      </c>
      <c r="R74" s="10">
        <f>IF(OR(K74&lt;0.75, N74&gt;1.0, Q74="Quá hạn xử lý"), "Rủi ro Cao (Cần xử lý)", IF(K74&lt;0.88, "Rủi ro Trung bình", "An toàn / Tốt"))</f>
        <v/>
      </c>
    </row>
    <row r="75">
      <c r="A75" s="14" t="inlineStr">
        <is>
          <t>NV-072</t>
        </is>
      </c>
      <c r="B75" s="15" t="n">
        <v>46170</v>
      </c>
      <c r="C75" s="14" t="inlineStr">
        <is>
          <t>Tháng 05/2026</t>
        </is>
      </c>
      <c r="D75" s="16" t="inlineStr">
        <is>
          <t>Phòng Kế hoạch - Tài chính</t>
        </is>
      </c>
      <c r="E75" s="16" t="inlineStr">
        <is>
          <t>Vũ Thị Lan</t>
        </is>
      </c>
      <c r="F75" s="16" t="inlineStr">
        <is>
          <t>Thanh quyết toán &amp; Giải ngân Dự án</t>
        </is>
      </c>
      <c r="G75" s="14" t="inlineStr">
        <is>
          <t>Quan trọng (Trung bình)</t>
        </is>
      </c>
      <c r="H75" s="16" t="inlineStr">
        <is>
          <t>Bán tự động (Excel + Biểu mẫu)</t>
        </is>
      </c>
      <c r="I75" s="17" t="n">
        <v>84</v>
      </c>
      <c r="J75" s="17" t="n">
        <v>60</v>
      </c>
      <c r="K75" s="18">
        <f>J75/I75</f>
        <v/>
      </c>
      <c r="L75" s="17" t="n">
        <v>74500000</v>
      </c>
      <c r="M75" s="17" t="n">
        <v>53700000</v>
      </c>
      <c r="N75" s="18">
        <f>M75/L75</f>
        <v/>
      </c>
      <c r="O75" s="17">
        <f>L75-M75</f>
        <v/>
      </c>
      <c r="P75" s="17" t="n">
        <v>123</v>
      </c>
      <c r="Q75" s="14" t="inlineStr">
        <is>
          <t>Hoàn thành</t>
        </is>
      </c>
      <c r="R75" s="14">
        <f>IF(OR(K75&lt;0.75, N75&gt;1.0, Q75="Quá hạn xử lý"), "Rủi ro Cao (Cần xử lý)", IF(K75&lt;0.88, "Rủi ro Trung bình", "An toàn / Tốt"))</f>
        <v/>
      </c>
    </row>
    <row r="76">
      <c r="A76" s="10" t="inlineStr">
        <is>
          <t>NV-073</t>
        </is>
      </c>
      <c r="B76" s="11" t="n">
        <v>46191</v>
      </c>
      <c r="C76" s="10" t="inlineStr">
        <is>
          <t>Tháng 06/2026</t>
        </is>
      </c>
      <c r="D76" s="5" t="inlineStr">
        <is>
          <t>Trung tâm Công nghệ &amp; Chuyển đổi số</t>
        </is>
      </c>
      <c r="E76" s="5" t="inlineStr">
        <is>
          <t>Ngô Phương Linh</t>
        </is>
      </c>
      <c r="F76" s="5" t="inlineStr">
        <is>
          <t>Thanh quyết toán &amp; Giải ngân Dự án</t>
        </is>
      </c>
      <c r="G76" s="10" t="inlineStr">
        <is>
          <t>Quan trọng (Trung bình)</t>
        </is>
      </c>
      <c r="H76" s="5" t="inlineStr">
        <is>
          <t>Phần mềm Quản lý (E-Office)</t>
        </is>
      </c>
      <c r="I76" s="12" t="n">
        <v>47</v>
      </c>
      <c r="J76" s="12" t="n">
        <v>39</v>
      </c>
      <c r="K76" s="13">
        <f>J76/I76</f>
        <v/>
      </c>
      <c r="L76" s="12" t="n">
        <v>304000000</v>
      </c>
      <c r="M76" s="12" t="n">
        <v>294900000</v>
      </c>
      <c r="N76" s="13">
        <f>M76/L76</f>
        <v/>
      </c>
      <c r="O76" s="12">
        <f>L76-M76</f>
        <v/>
      </c>
      <c r="P76" s="12" t="n">
        <v>111</v>
      </c>
      <c r="Q76" s="10" t="inlineStr">
        <is>
          <t>Hoàn thành</t>
        </is>
      </c>
      <c r="R76" s="10">
        <f>IF(OR(K76&lt;0.75, N76&gt;1.0, Q76="Quá hạn xử lý"), "Rủi ro Cao (Cần xử lý)", IF(K76&lt;0.88, "Rủi ro Trung bình", "An toàn / Tốt"))</f>
        <v/>
      </c>
    </row>
    <row r="77">
      <c r="A77" s="14" t="inlineStr">
        <is>
          <t>NV-074</t>
        </is>
      </c>
      <c r="B77" s="15" t="n">
        <v>46145</v>
      </c>
      <c r="C77" s="14" t="inlineStr">
        <is>
          <t>Tháng 05/2026</t>
        </is>
      </c>
      <c r="D77" s="16" t="inlineStr">
        <is>
          <t>Phòng Pháp chế &amp; Kiểm soát nội bộ</t>
        </is>
      </c>
      <c r="E77" s="16" t="inlineStr">
        <is>
          <t>Phan Thanh Thảo</t>
        </is>
      </c>
      <c r="F77" s="16" t="inlineStr">
        <is>
          <t>Triển khai Hạ tầng &amp; Phần mềm AI nội bộ</t>
        </is>
      </c>
      <c r="G77" s="14" t="inlineStr">
        <is>
          <t>Quan trọng (Trung bình)</t>
        </is>
      </c>
      <c r="H77" s="16" t="inlineStr">
        <is>
          <t>Bán tự động (Excel + Biểu mẫu)</t>
        </is>
      </c>
      <c r="I77" s="17" t="n">
        <v>97</v>
      </c>
      <c r="J77" s="17" t="n">
        <v>66</v>
      </c>
      <c r="K77" s="18">
        <f>J77/I77</f>
        <v/>
      </c>
      <c r="L77" s="17" t="n">
        <v>77000000</v>
      </c>
      <c r="M77" s="17" t="n">
        <v>72400000</v>
      </c>
      <c r="N77" s="18">
        <f>M77/L77</f>
        <v/>
      </c>
      <c r="O77" s="17">
        <f>L77-M77</f>
        <v/>
      </c>
      <c r="P77" s="17" t="n">
        <v>278</v>
      </c>
      <c r="Q77" s="14" t="inlineStr">
        <is>
          <t>Quá hạn xử lý</t>
        </is>
      </c>
      <c r="R77" s="14">
        <f>IF(OR(K77&lt;0.75, N77&gt;1.0, Q77="Quá hạn xử lý"), "Rủi ro Cao (Cần xử lý)", IF(K77&lt;0.88, "Rủi ro Trung bình", "An toàn / Tốt"))</f>
        <v/>
      </c>
    </row>
    <row r="78">
      <c r="A78" s="10" t="inlineStr">
        <is>
          <t>NV-075</t>
        </is>
      </c>
      <c r="B78" s="11" t="n">
        <v>46198</v>
      </c>
      <c r="C78" s="10" t="inlineStr">
        <is>
          <t>Tháng 06/2026</t>
        </is>
      </c>
      <c r="D78" s="5" t="inlineStr">
        <is>
          <t>Phòng Pháp chế &amp; Kiểm soát nội bộ</t>
        </is>
      </c>
      <c r="E78" s="5" t="inlineStr">
        <is>
          <t>Phan Thanh Thảo</t>
        </is>
      </c>
      <c r="F78" s="5" t="inlineStr">
        <is>
          <t>Thanh quyết toán &amp; Giải ngân Dự án</t>
        </is>
      </c>
      <c r="G78" s="10" t="inlineStr">
        <is>
          <t>Định kỳ (Thấp)</t>
        </is>
      </c>
      <c r="H78" s="5" t="inlineStr">
        <is>
          <t>Bán tự động (Excel + Biểu mẫu)</t>
        </is>
      </c>
      <c r="I78" s="12" t="n">
        <v>92</v>
      </c>
      <c r="J78" s="12" t="n">
        <v>65</v>
      </c>
      <c r="K78" s="13">
        <f>J78/I78</f>
        <v/>
      </c>
      <c r="L78" s="12" t="n">
        <v>134000000</v>
      </c>
      <c r="M78" s="12" t="n">
        <v>120400000</v>
      </c>
      <c r="N78" s="13">
        <f>M78/L78</f>
        <v/>
      </c>
      <c r="O78" s="12">
        <f>L78-M78</f>
        <v/>
      </c>
      <c r="P78" s="12" t="n">
        <v>159</v>
      </c>
      <c r="Q78" s="10" t="inlineStr">
        <is>
          <t>Đang thực hiện</t>
        </is>
      </c>
      <c r="R78" s="10">
        <f>IF(OR(K78&lt;0.75, N78&gt;1.0, Q78="Quá hạn xử lý"), "Rủi ro Cao (Cần xử lý)", IF(K78&lt;0.88, "Rủi ro Trung bình", "An toàn / Tốt"))</f>
        <v/>
      </c>
    </row>
    <row r="79">
      <c r="A79" s="14" t="inlineStr">
        <is>
          <t>NV-076</t>
        </is>
      </c>
      <c r="B79" s="15" t="n">
        <v>46198</v>
      </c>
      <c r="C79" s="14" t="inlineStr">
        <is>
          <t>Tháng 06/2026</t>
        </is>
      </c>
      <c r="D79" s="16" t="inlineStr">
        <is>
          <t>Phòng Kế hoạch - Tài chính</t>
        </is>
      </c>
      <c r="E79" s="16" t="inlineStr">
        <is>
          <t>Đặng Quốc Khánh</t>
        </is>
      </c>
      <c r="F79" s="16" t="inlineStr">
        <is>
          <t>Thẩm định Hồ sơ đấu thầu &amp; Mua sắm</t>
        </is>
      </c>
      <c r="G79" s="14" t="inlineStr">
        <is>
          <t>Định kỳ (Thấp)</t>
        </is>
      </c>
      <c r="H79" s="16" t="inlineStr">
        <is>
          <t>Tự động hóa bằng AI Agent</t>
        </is>
      </c>
      <c r="I79" s="17" t="n">
        <v>41</v>
      </c>
      <c r="J79" s="17" t="n">
        <v>39</v>
      </c>
      <c r="K79" s="18">
        <f>J79/I79</f>
        <v/>
      </c>
      <c r="L79" s="17" t="n">
        <v>77500000</v>
      </c>
      <c r="M79" s="17" t="n">
        <v>68700000</v>
      </c>
      <c r="N79" s="18">
        <f>M79/L79</f>
        <v/>
      </c>
      <c r="O79" s="17">
        <f>L79-M79</f>
        <v/>
      </c>
      <c r="P79" s="17" t="n">
        <v>35</v>
      </c>
      <c r="Q79" s="14" t="inlineStr">
        <is>
          <t>Hoàn thành</t>
        </is>
      </c>
      <c r="R79" s="14">
        <f>IF(OR(K79&lt;0.75, N79&gt;1.0, Q79="Quá hạn xử lý"), "Rủi ro Cao (Cần xử lý)", IF(K79&lt;0.88, "Rủi ro Trung bình", "An toàn / Tốt"))</f>
        <v/>
      </c>
    </row>
    <row r="80">
      <c r="A80" s="10" t="inlineStr">
        <is>
          <t>NV-077</t>
        </is>
      </c>
      <c r="B80" s="11" t="n">
        <v>46186</v>
      </c>
      <c r="C80" s="10" t="inlineStr">
        <is>
          <t>Tháng 06/2026</t>
        </is>
      </c>
      <c r="D80" s="5" t="inlineStr">
        <is>
          <t>Phòng Tổ chức - Nhân sự &amp; Đào tạo</t>
        </is>
      </c>
      <c r="E80" s="5" t="inlineStr">
        <is>
          <t>Đỗ Thị Thu Hà</t>
        </is>
      </c>
      <c r="F80" s="5" t="inlineStr">
        <is>
          <t>Tổ chức Hội nghị, Tập huấn &amp; Đào tạo</t>
        </is>
      </c>
      <c r="G80" s="10" t="inlineStr">
        <is>
          <t>Quan trọng (Trung bình)</t>
        </is>
      </c>
      <c r="H80" s="5" t="inlineStr">
        <is>
          <t>Bán tự động (Excel + Biểu mẫu)</t>
        </is>
      </c>
      <c r="I80" s="12" t="n">
        <v>25</v>
      </c>
      <c r="J80" s="12" t="n">
        <v>17</v>
      </c>
      <c r="K80" s="13">
        <f>J80/I80</f>
        <v/>
      </c>
      <c r="L80" s="12" t="n">
        <v>61500000</v>
      </c>
      <c r="M80" s="12" t="n">
        <v>50700000</v>
      </c>
      <c r="N80" s="13">
        <f>M80/L80</f>
        <v/>
      </c>
      <c r="O80" s="12">
        <f>L80-M80</f>
        <v/>
      </c>
      <c r="P80" s="12" t="n">
        <v>44</v>
      </c>
      <c r="Q80" s="10" t="inlineStr">
        <is>
          <t>Quá hạn xử lý</t>
        </is>
      </c>
      <c r="R80" s="10">
        <f>IF(OR(K80&lt;0.75, N80&gt;1.0, Q80="Quá hạn xử lý"), "Rủi ro Cao (Cần xử lý)", IF(K80&lt;0.88, "Rủi ro Trung bình", "An toàn / Tốt"))</f>
        <v/>
      </c>
    </row>
    <row r="81">
      <c r="A81" s="14" t="inlineStr">
        <is>
          <t>NV-078</t>
        </is>
      </c>
      <c r="B81" s="15" t="n">
        <v>46028</v>
      </c>
      <c r="C81" s="14" t="inlineStr">
        <is>
          <t>Tháng 01/2026</t>
        </is>
      </c>
      <c r="D81" s="16" t="inlineStr">
        <is>
          <t>Phòng Pháp chế &amp; Kiểm soát nội bộ</t>
        </is>
      </c>
      <c r="E81" s="16" t="inlineStr">
        <is>
          <t>Trương Quang Vinh</t>
        </is>
      </c>
      <c r="F81" s="16" t="inlineStr">
        <is>
          <t>Thẩm định Hồ sơ đấu thầu &amp; Mua sắm</t>
        </is>
      </c>
      <c r="G81" s="14" t="inlineStr">
        <is>
          <t>Quan trọng (Trung bình)</t>
        </is>
      </c>
      <c r="H81" s="16" t="inlineStr">
        <is>
          <t>Tự động hóa bằng AI Agent</t>
        </is>
      </c>
      <c r="I81" s="17" t="n">
        <v>109</v>
      </c>
      <c r="J81" s="17" t="n">
        <v>102</v>
      </c>
      <c r="K81" s="18">
        <f>J81/I81</f>
        <v/>
      </c>
      <c r="L81" s="17" t="n">
        <v>61000000</v>
      </c>
      <c r="M81" s="17" t="n">
        <v>54500000</v>
      </c>
      <c r="N81" s="18">
        <f>M81/L81</f>
        <v/>
      </c>
      <c r="O81" s="17">
        <f>L81-M81</f>
        <v/>
      </c>
      <c r="P81" s="17" t="n">
        <v>123</v>
      </c>
      <c r="Q81" s="14" t="inlineStr">
        <is>
          <t>Hoàn thành</t>
        </is>
      </c>
      <c r="R81" s="14">
        <f>IF(OR(K81&lt;0.75, N81&gt;1.0, Q81="Quá hạn xử lý"), "Rủi ro Cao (Cần xử lý)", IF(K81&lt;0.88, "Rủi ro Trung bình", "An toàn / Tốt"))</f>
        <v/>
      </c>
    </row>
    <row r="82">
      <c r="A82" s="10" t="inlineStr">
        <is>
          <t>NV-079</t>
        </is>
      </c>
      <c r="B82" s="11" t="n">
        <v>46038</v>
      </c>
      <c r="C82" s="10" t="inlineStr">
        <is>
          <t>Tháng 01/2026</t>
        </is>
      </c>
      <c r="D82" s="5" t="inlineStr">
        <is>
          <t>Trung tâm Công nghệ &amp; Chuyển đổi số</t>
        </is>
      </c>
      <c r="E82" s="5" t="inlineStr">
        <is>
          <t>Ngô Phương Linh</t>
        </is>
      </c>
      <c r="F82" s="5" t="inlineStr">
        <is>
          <t>Thanh quyết toán &amp; Giải ngân Dự án</t>
        </is>
      </c>
      <c r="G82" s="10" t="inlineStr">
        <is>
          <t>Quan trọng (Trung bình)</t>
        </is>
      </c>
      <c r="H82" s="5" t="inlineStr">
        <is>
          <t>Tự động hóa bằng AI Agent</t>
        </is>
      </c>
      <c r="I82" s="12" t="n">
        <v>32</v>
      </c>
      <c r="J82" s="12" t="n">
        <v>32</v>
      </c>
      <c r="K82" s="13">
        <f>J82/I82</f>
        <v/>
      </c>
      <c r="L82" s="12" t="n">
        <v>228000000</v>
      </c>
      <c r="M82" s="12" t="n">
        <v>105500000</v>
      </c>
      <c r="N82" s="13">
        <f>M82/L82</f>
        <v/>
      </c>
      <c r="O82" s="12">
        <f>L82-M82</f>
        <v/>
      </c>
      <c r="P82" s="12" t="n">
        <v>27</v>
      </c>
      <c r="Q82" s="10" t="inlineStr">
        <is>
          <t>Tạm dừng chờ duyệt</t>
        </is>
      </c>
      <c r="R82" s="10">
        <f>IF(OR(K82&lt;0.75, N82&gt;1.0, Q82="Quá hạn xử lý"), "Rủi ro Cao (Cần xử lý)", IF(K82&lt;0.88, "Rủi ro Trung bình", "An toàn / Tốt"))</f>
        <v/>
      </c>
    </row>
    <row r="83">
      <c r="A83" s="14" t="inlineStr">
        <is>
          <t>NV-080</t>
        </is>
      </c>
      <c r="B83" s="15" t="n">
        <v>46162</v>
      </c>
      <c r="C83" s="14" t="inlineStr">
        <is>
          <t>Tháng 05/2026</t>
        </is>
      </c>
      <c r="D83" s="16" t="inlineStr">
        <is>
          <t>Phòng Pháp chế &amp; Kiểm soát nội bộ</t>
        </is>
      </c>
      <c r="E83" s="16" t="inlineStr">
        <is>
          <t>Phan Thanh Thảo</t>
        </is>
      </c>
      <c r="F83" s="16" t="inlineStr">
        <is>
          <t>Tổ chức Hội nghị, Tập huấn &amp; Đào tạo</t>
        </is>
      </c>
      <c r="G83" s="14" t="inlineStr">
        <is>
          <t>Khẩn cấp (Cao)</t>
        </is>
      </c>
      <c r="H83" s="16" t="inlineStr">
        <is>
          <t>Phần mềm Quản lý (E-Office)</t>
        </is>
      </c>
      <c r="I83" s="17" t="n">
        <v>101</v>
      </c>
      <c r="J83" s="17" t="n">
        <v>80</v>
      </c>
      <c r="K83" s="18">
        <f>J83/I83</f>
        <v/>
      </c>
      <c r="L83" s="17" t="n">
        <v>36500000</v>
      </c>
      <c r="M83" s="17" t="n">
        <v>34200000</v>
      </c>
      <c r="N83" s="18">
        <f>M83/L83</f>
        <v/>
      </c>
      <c r="O83" s="17">
        <f>L83-M83</f>
        <v/>
      </c>
      <c r="P83" s="17" t="n">
        <v>148</v>
      </c>
      <c r="Q83" s="14" t="inlineStr">
        <is>
          <t>Hoàn thành</t>
        </is>
      </c>
      <c r="R83" s="14">
        <f>IF(OR(K83&lt;0.75, N83&gt;1.0, Q83="Quá hạn xử lý"), "Rủi ro Cao (Cần xử lý)", IF(K83&lt;0.88, "Rủi ro Trung bình", "An toàn / Tốt"))</f>
        <v/>
      </c>
    </row>
    <row r="84">
      <c r="A84" s="10" t="inlineStr">
        <is>
          <t>NV-081</t>
        </is>
      </c>
      <c r="B84" s="11" t="n">
        <v>46166</v>
      </c>
      <c r="C84" s="10" t="inlineStr">
        <is>
          <t>Tháng 05/2026</t>
        </is>
      </c>
      <c r="D84" s="5" t="inlineStr">
        <is>
          <t>Phòng Kế hoạch - Tài chính</t>
        </is>
      </c>
      <c r="E84" s="5" t="inlineStr">
        <is>
          <t>Vũ Thị Lan</t>
        </is>
      </c>
      <c r="F84" s="5" t="inlineStr">
        <is>
          <t>Thanh quyết toán &amp; Giải ngân Dự án</t>
        </is>
      </c>
      <c r="G84" s="10" t="inlineStr">
        <is>
          <t>Khẩn cấp (Cao)</t>
        </is>
      </c>
      <c r="H84" s="5" t="inlineStr">
        <is>
          <t>Tự động hóa bằng AI Agent</t>
        </is>
      </c>
      <c r="I84" s="12" t="n">
        <v>67</v>
      </c>
      <c r="J84" s="12" t="n">
        <v>57</v>
      </c>
      <c r="K84" s="13">
        <f>J84/I84</f>
        <v/>
      </c>
      <c r="L84" s="12" t="n">
        <v>114500000</v>
      </c>
      <c r="M84" s="12" t="n">
        <v>88600000</v>
      </c>
      <c r="N84" s="13">
        <f>M84/L84</f>
        <v/>
      </c>
      <c r="O84" s="12">
        <f>L84-M84</f>
        <v/>
      </c>
      <c r="P84" s="12" t="n">
        <v>97</v>
      </c>
      <c r="Q84" s="10" t="inlineStr">
        <is>
          <t>Hoàn thành</t>
        </is>
      </c>
      <c r="R84" s="10">
        <f>IF(OR(K84&lt;0.75, N84&gt;1.0, Q84="Quá hạn xử lý"), "Rủi ro Cao (Cần xử lý)", IF(K84&lt;0.88, "Rủi ro Trung bình", "An toàn / Tốt"))</f>
        <v/>
      </c>
    </row>
    <row r="85">
      <c r="A85" s="14" t="inlineStr">
        <is>
          <t>NV-082</t>
        </is>
      </c>
      <c r="B85" s="15" t="n">
        <v>46084</v>
      </c>
      <c r="C85" s="14" t="inlineStr">
        <is>
          <t>Tháng 03/2026</t>
        </is>
      </c>
      <c r="D85" s="16" t="inlineStr">
        <is>
          <t>Văn phòng &amp; Hành chính Tổng hợp</t>
        </is>
      </c>
      <c r="E85" s="16" t="inlineStr">
        <is>
          <t>Trần Thị Mai</t>
        </is>
      </c>
      <c r="F85" s="16" t="inlineStr">
        <is>
          <t>Soạn thảo &amp; Ban hành Văn bản điều hành</t>
        </is>
      </c>
      <c r="G85" s="14" t="inlineStr">
        <is>
          <t>Quan trọng (Trung bình)</t>
        </is>
      </c>
      <c r="H85" s="16" t="inlineStr">
        <is>
          <t>Tự động hóa bằng AI Agent</t>
        </is>
      </c>
      <c r="I85" s="17" t="n">
        <v>98</v>
      </c>
      <c r="J85" s="17" t="n">
        <v>92</v>
      </c>
      <c r="K85" s="18">
        <f>J85/I85</f>
        <v/>
      </c>
      <c r="L85" s="17" t="n">
        <v>24000000</v>
      </c>
      <c r="M85" s="17" t="n">
        <v>21700000</v>
      </c>
      <c r="N85" s="18">
        <f>M85/L85</f>
        <v/>
      </c>
      <c r="O85" s="17">
        <f>L85-M85</f>
        <v/>
      </c>
      <c r="P85" s="17" t="n">
        <v>152</v>
      </c>
      <c r="Q85" s="14" t="inlineStr">
        <is>
          <t>Hoàn thành</t>
        </is>
      </c>
      <c r="R85" s="14">
        <f>IF(OR(K85&lt;0.75, N85&gt;1.0, Q85="Quá hạn xử lý"), "Rủi ro Cao (Cần xử lý)", IF(K85&lt;0.88, "Rủi ro Trung bình", "An toàn / Tốt"))</f>
        <v/>
      </c>
    </row>
    <row r="86">
      <c r="A86" s="10" t="inlineStr">
        <is>
          <t>NV-083</t>
        </is>
      </c>
      <c r="B86" s="11" t="n">
        <v>46199</v>
      </c>
      <c r="C86" s="10" t="inlineStr">
        <is>
          <t>Tháng 06/2026</t>
        </is>
      </c>
      <c r="D86" s="5" t="inlineStr">
        <is>
          <t>Ban Quản lý Dự án Đầu tư &amp; Hạ tầng</t>
        </is>
      </c>
      <c r="E86" s="5" t="inlineStr">
        <is>
          <t>Mai Anh Tuấn</t>
        </is>
      </c>
      <c r="F86" s="5" t="inlineStr">
        <is>
          <t>Thanh quyết toán &amp; Giải ngân Dự án</t>
        </is>
      </c>
      <c r="G86" s="10" t="inlineStr">
        <is>
          <t>Khẩn cấp (Cao)</t>
        </is>
      </c>
      <c r="H86" s="5" t="inlineStr">
        <is>
          <t>Bán tự động (Excel + Biểu mẫu)</t>
        </is>
      </c>
      <c r="I86" s="12" t="n">
        <v>77</v>
      </c>
      <c r="J86" s="12" t="n">
        <v>53</v>
      </c>
      <c r="K86" s="13">
        <f>J86/I86</f>
        <v/>
      </c>
      <c r="L86" s="12" t="n">
        <v>542000000</v>
      </c>
      <c r="M86" s="12" t="n">
        <v>453300000</v>
      </c>
      <c r="N86" s="13">
        <f>M86/L86</f>
        <v/>
      </c>
      <c r="O86" s="12">
        <f>L86-M86</f>
        <v/>
      </c>
      <c r="P86" s="12" t="n">
        <v>213</v>
      </c>
      <c r="Q86" s="10" t="inlineStr">
        <is>
          <t>Quá hạn xử lý</t>
        </is>
      </c>
      <c r="R86" s="10">
        <f>IF(OR(K86&lt;0.75, N86&gt;1.0, Q86="Quá hạn xử lý"), "Rủi ro Cao (Cần xử lý)", IF(K86&lt;0.88, "Rủi ro Trung bình", "An toàn / Tốt"))</f>
        <v/>
      </c>
    </row>
    <row r="87">
      <c r="A87" s="14" t="inlineStr">
        <is>
          <t>NV-084</t>
        </is>
      </c>
      <c r="B87" s="15" t="n">
        <v>46070</v>
      </c>
      <c r="C87" s="14" t="inlineStr">
        <is>
          <t>Tháng 02/2026</t>
        </is>
      </c>
      <c r="D87" s="16" t="inlineStr">
        <is>
          <t>Phòng Tổ chức - Nhân sự &amp; Đào tạo</t>
        </is>
      </c>
      <c r="E87" s="16" t="inlineStr">
        <is>
          <t>Lý Minh Khôi</t>
        </is>
      </c>
      <c r="F87" s="16" t="inlineStr">
        <is>
          <t>Kiểm tra, Rà soát Pháp lý &amp; Tuân thủ</t>
        </is>
      </c>
      <c r="G87" s="14" t="inlineStr">
        <is>
          <t>Khẩn cấp (Cao)</t>
        </is>
      </c>
      <c r="H87" s="16" t="inlineStr">
        <is>
          <t>Tự động hóa bằng AI Agent</t>
        </is>
      </c>
      <c r="I87" s="17" t="n">
        <v>50</v>
      </c>
      <c r="J87" s="17" t="n">
        <v>43</v>
      </c>
      <c r="K87" s="18">
        <f>J87/I87</f>
        <v/>
      </c>
      <c r="L87" s="17" t="n">
        <v>92000000</v>
      </c>
      <c r="M87" s="17" t="n">
        <v>81500000</v>
      </c>
      <c r="N87" s="18">
        <f>M87/L87</f>
        <v/>
      </c>
      <c r="O87" s="17">
        <f>L87-M87</f>
        <v/>
      </c>
      <c r="P87" s="17" t="n">
        <v>44</v>
      </c>
      <c r="Q87" s="14" t="inlineStr">
        <is>
          <t>Tạm dừng chờ duyệt</t>
        </is>
      </c>
      <c r="R87" s="14">
        <f>IF(OR(K87&lt;0.75, N87&gt;1.0, Q87="Quá hạn xử lý"), "Rủi ro Cao (Cần xử lý)", IF(K87&lt;0.88, "Rủi ro Trung bình", "An toàn / Tốt"))</f>
        <v/>
      </c>
    </row>
    <row r="88">
      <c r="A88" s="10" t="inlineStr">
        <is>
          <t>NV-085</t>
        </is>
      </c>
      <c r="B88" s="11" t="n">
        <v>46063</v>
      </c>
      <c r="C88" s="10" t="inlineStr">
        <is>
          <t>Tháng 02/2026</t>
        </is>
      </c>
      <c r="D88" s="5" t="inlineStr">
        <is>
          <t>Trung tâm Công nghệ &amp; Chuyển đổi số</t>
        </is>
      </c>
      <c r="E88" s="5" t="inlineStr">
        <is>
          <t>Hoàng Tuấn Anh</t>
        </is>
      </c>
      <c r="F88" s="5" t="inlineStr">
        <is>
          <t>Triển khai Hạ tầng &amp; Phần mềm AI nội bộ</t>
        </is>
      </c>
      <c r="G88" s="10" t="inlineStr">
        <is>
          <t>Định kỳ (Thấp)</t>
        </is>
      </c>
      <c r="H88" s="5" t="inlineStr">
        <is>
          <t>Phần mềm Quản lý (E-Office)</t>
        </is>
      </c>
      <c r="I88" s="12" t="n">
        <v>74</v>
      </c>
      <c r="J88" s="12" t="n">
        <v>61</v>
      </c>
      <c r="K88" s="13">
        <f>J88/I88</f>
        <v/>
      </c>
      <c r="L88" s="12" t="n">
        <v>308500000</v>
      </c>
      <c r="M88" s="12" t="n">
        <v>210800000</v>
      </c>
      <c r="N88" s="13">
        <f>M88/L88</f>
        <v/>
      </c>
      <c r="O88" s="12">
        <f>L88-M88</f>
        <v/>
      </c>
      <c r="P88" s="12" t="n">
        <v>133</v>
      </c>
      <c r="Q88" s="10" t="inlineStr">
        <is>
          <t>Hoàn thành</t>
        </is>
      </c>
      <c r="R88" s="10">
        <f>IF(OR(K88&lt;0.75, N88&gt;1.0, Q88="Quá hạn xử lý"), "Rủi ro Cao (Cần xử lý)", IF(K88&lt;0.88, "Rủi ro Trung bình", "An toàn / Tốt"))</f>
        <v/>
      </c>
    </row>
    <row r="89">
      <c r="A89" s="14" t="inlineStr">
        <is>
          <t>NV-086</t>
        </is>
      </c>
      <c r="B89" s="15" t="n">
        <v>46104</v>
      </c>
      <c r="C89" s="14" t="inlineStr">
        <is>
          <t>Tháng 03/2026</t>
        </is>
      </c>
      <c r="D89" s="16" t="inlineStr">
        <is>
          <t>Văn phòng &amp; Hành chính Tổng hợp</t>
        </is>
      </c>
      <c r="E89" s="16" t="inlineStr">
        <is>
          <t>Lê Hoàng Nam</t>
        </is>
      </c>
      <c r="F89" s="16" t="inlineStr">
        <is>
          <t>Tổ chức Hội nghị, Tập huấn &amp; Đào tạo</t>
        </is>
      </c>
      <c r="G89" s="14" t="inlineStr">
        <is>
          <t>Quan trọng (Trung bình)</t>
        </is>
      </c>
      <c r="H89" s="16" t="inlineStr">
        <is>
          <t>Phần mềm Quản lý (E-Office)</t>
        </is>
      </c>
      <c r="I89" s="17" t="n">
        <v>187</v>
      </c>
      <c r="J89" s="17" t="n">
        <v>148</v>
      </c>
      <c r="K89" s="18">
        <f>J89/I89</f>
        <v/>
      </c>
      <c r="L89" s="17" t="n">
        <v>81500000</v>
      </c>
      <c r="M89" s="17" t="n">
        <v>65100000</v>
      </c>
      <c r="N89" s="18">
        <f>M89/L89</f>
        <v/>
      </c>
      <c r="O89" s="17">
        <f>L89-M89</f>
        <v/>
      </c>
      <c r="P89" s="17" t="n">
        <v>277</v>
      </c>
      <c r="Q89" s="14" t="inlineStr">
        <is>
          <t>Hoàn thành</t>
        </is>
      </c>
      <c r="R89" s="14">
        <f>IF(OR(K89&lt;0.75, N89&gt;1.0, Q89="Quá hạn xử lý"), "Rủi ro Cao (Cần xử lý)", IF(K89&lt;0.88, "Rủi ro Trung bình", "An toàn / Tốt"))</f>
        <v/>
      </c>
    </row>
    <row r="90">
      <c r="A90" s="10" t="inlineStr">
        <is>
          <t>NV-087</t>
        </is>
      </c>
      <c r="B90" s="11" t="n">
        <v>46130</v>
      </c>
      <c r="C90" s="10" t="inlineStr">
        <is>
          <t>Tháng 04/2026</t>
        </is>
      </c>
      <c r="D90" s="5" t="inlineStr">
        <is>
          <t>Trung tâm Công nghệ &amp; Chuyển đổi số</t>
        </is>
      </c>
      <c r="E90" s="5" t="inlineStr">
        <is>
          <t>Ngô Phương Linh</t>
        </is>
      </c>
      <c r="F90" s="5" t="inlineStr">
        <is>
          <t>Triển khai Hạ tầng &amp; Phần mềm AI nội bộ</t>
        </is>
      </c>
      <c r="G90" s="10" t="inlineStr">
        <is>
          <t>Quan trọng (Trung bình)</t>
        </is>
      </c>
      <c r="H90" s="5" t="inlineStr">
        <is>
          <t>Bán tự động (Excel + Biểu mẫu)</t>
        </is>
      </c>
      <c r="I90" s="12" t="n">
        <v>75</v>
      </c>
      <c r="J90" s="12" t="n">
        <v>55</v>
      </c>
      <c r="K90" s="13">
        <f>J90/I90</f>
        <v/>
      </c>
      <c r="L90" s="12" t="n">
        <v>515500000</v>
      </c>
      <c r="M90" s="12" t="n">
        <v>448400000</v>
      </c>
      <c r="N90" s="13">
        <f>M90/L90</f>
        <v/>
      </c>
      <c r="O90" s="12">
        <f>L90-M90</f>
        <v/>
      </c>
      <c r="P90" s="12" t="n">
        <v>104</v>
      </c>
      <c r="Q90" s="10" t="inlineStr">
        <is>
          <t>Đang thực hiện</t>
        </is>
      </c>
      <c r="R90" s="10">
        <f>IF(OR(K90&lt;0.75, N90&gt;1.0, Q90="Quá hạn xử lý"), "Rủi ro Cao (Cần xử lý)", IF(K90&lt;0.88, "Rủi ro Trung bình", "An toàn / Tốt"))</f>
        <v/>
      </c>
    </row>
    <row r="91">
      <c r="A91" s="14" t="inlineStr">
        <is>
          <t>NV-088</t>
        </is>
      </c>
      <c r="B91" s="15" t="n">
        <v>46099</v>
      </c>
      <c r="C91" s="14" t="inlineStr">
        <is>
          <t>Tháng 03/2026</t>
        </is>
      </c>
      <c r="D91" s="16" t="inlineStr">
        <is>
          <t>Phòng Pháp chế &amp; Kiểm soát nội bộ</t>
        </is>
      </c>
      <c r="E91" s="16" t="inlineStr">
        <is>
          <t>Trương Quang Vinh</t>
        </is>
      </c>
      <c r="F91" s="16" t="inlineStr">
        <is>
          <t>Thanh quyết toán &amp; Giải ngân Dự án</t>
        </is>
      </c>
      <c r="G91" s="14" t="inlineStr">
        <is>
          <t>Quan trọng (Trung bình)</t>
        </is>
      </c>
      <c r="H91" s="16" t="inlineStr">
        <is>
          <t>Tự động hóa bằng AI Agent</t>
        </is>
      </c>
      <c r="I91" s="17" t="n">
        <v>59</v>
      </c>
      <c r="J91" s="17" t="n">
        <v>51</v>
      </c>
      <c r="K91" s="18">
        <f>J91/I91</f>
        <v/>
      </c>
      <c r="L91" s="17" t="n">
        <v>110500000</v>
      </c>
      <c r="M91" s="17" t="n">
        <v>118200000</v>
      </c>
      <c r="N91" s="18">
        <f>M91/L91</f>
        <v/>
      </c>
      <c r="O91" s="17">
        <f>L91-M91</f>
        <v/>
      </c>
      <c r="P91" s="17" t="n">
        <v>57</v>
      </c>
      <c r="Q91" s="14" t="inlineStr">
        <is>
          <t>Quá hạn xử lý</t>
        </is>
      </c>
      <c r="R91" s="14">
        <f>IF(OR(K91&lt;0.75, N91&gt;1.0, Q91="Quá hạn xử lý"), "Rủi ro Cao (Cần xử lý)", IF(K91&lt;0.88, "Rủi ro Trung bình", "An toàn / Tốt"))</f>
        <v/>
      </c>
    </row>
    <row r="92">
      <c r="A92" s="10" t="inlineStr">
        <is>
          <t>NV-089</t>
        </is>
      </c>
      <c r="B92" s="11" t="n">
        <v>46098</v>
      </c>
      <c r="C92" s="10" t="inlineStr">
        <is>
          <t>Tháng 03/2026</t>
        </is>
      </c>
      <c r="D92" s="5" t="inlineStr">
        <is>
          <t>Văn phòng &amp; Hành chính Tổng hợp</t>
        </is>
      </c>
      <c r="E92" s="5" t="inlineStr">
        <is>
          <t>Nguyễn Văn Hùng</t>
        </is>
      </c>
      <c r="F92" s="5" t="inlineStr">
        <is>
          <t>Tổ chức Hội nghị, Tập huấn &amp; Đào tạo</t>
        </is>
      </c>
      <c r="G92" s="10" t="inlineStr">
        <is>
          <t>Khẩn cấp (Cao)</t>
        </is>
      </c>
      <c r="H92" s="5" t="inlineStr">
        <is>
          <t>Bán tự động (Excel + Biểu mẫu)</t>
        </is>
      </c>
      <c r="I92" s="12" t="n">
        <v>210</v>
      </c>
      <c r="J92" s="12" t="n">
        <v>168</v>
      </c>
      <c r="K92" s="13">
        <f>J92/I92</f>
        <v/>
      </c>
      <c r="L92" s="12" t="n">
        <v>87000000</v>
      </c>
      <c r="M92" s="12" t="n">
        <v>68000000</v>
      </c>
      <c r="N92" s="13">
        <f>M92/L92</f>
        <v/>
      </c>
      <c r="O92" s="12">
        <f>L92-M92</f>
        <v/>
      </c>
      <c r="P92" s="12" t="n">
        <v>485</v>
      </c>
      <c r="Q92" s="10" t="inlineStr">
        <is>
          <t>Đang thực hiện</t>
        </is>
      </c>
      <c r="R92" s="10">
        <f>IF(OR(K92&lt;0.75, N92&gt;1.0, Q92="Quá hạn xử lý"), "Rủi ro Cao (Cần xử lý)", IF(K92&lt;0.88, "Rủi ro Trung bình", "An toàn / Tốt"))</f>
        <v/>
      </c>
    </row>
    <row r="93">
      <c r="A93" s="14" t="inlineStr">
        <is>
          <t>NV-090</t>
        </is>
      </c>
      <c r="B93" s="15" t="n">
        <v>46069</v>
      </c>
      <c r="C93" s="14" t="inlineStr">
        <is>
          <t>Tháng 02/2026</t>
        </is>
      </c>
      <c r="D93" s="16" t="inlineStr">
        <is>
          <t>Trung tâm Công nghệ &amp; Chuyển đổi số</t>
        </is>
      </c>
      <c r="E93" s="16" t="inlineStr">
        <is>
          <t>Hoàng Tuấn Anh</t>
        </is>
      </c>
      <c r="F93" s="16" t="inlineStr">
        <is>
          <t>Thanh quyết toán &amp; Giải ngân Dự án</t>
        </is>
      </c>
      <c r="G93" s="14" t="inlineStr">
        <is>
          <t>Quan trọng (Trung bình)</t>
        </is>
      </c>
      <c r="H93" s="16" t="inlineStr">
        <is>
          <t>Xử lý Thủ công (Hồ sơ giấy)</t>
        </is>
      </c>
      <c r="I93" s="17" t="n">
        <v>40</v>
      </c>
      <c r="J93" s="17" t="n">
        <v>29</v>
      </c>
      <c r="K93" s="18">
        <f>J93/I93</f>
        <v/>
      </c>
      <c r="L93" s="17" t="n">
        <v>116000000</v>
      </c>
      <c r="M93" s="17" t="n">
        <v>62800000</v>
      </c>
      <c r="N93" s="18">
        <f>M93/L93</f>
        <v/>
      </c>
      <c r="O93" s="17">
        <f>L93-M93</f>
        <v/>
      </c>
      <c r="P93" s="17" t="n">
        <v>97</v>
      </c>
      <c r="Q93" s="14" t="inlineStr">
        <is>
          <t>Đang thực hiện</t>
        </is>
      </c>
      <c r="R93" s="14">
        <f>IF(OR(K93&lt;0.75, N93&gt;1.0, Q93="Quá hạn xử lý"), "Rủi ro Cao (Cần xử lý)", IF(K93&lt;0.88, "Rủi ro Trung bình", "An toàn / Tốt"))</f>
        <v/>
      </c>
    </row>
    <row r="94">
      <c r="A94" s="10" t="inlineStr">
        <is>
          <t>NV-091</t>
        </is>
      </c>
      <c r="B94" s="11" t="n">
        <v>46025</v>
      </c>
      <c r="C94" s="10" t="inlineStr">
        <is>
          <t>Tháng 01/2026</t>
        </is>
      </c>
      <c r="D94" s="5" t="inlineStr">
        <is>
          <t>Phòng Pháp chế &amp; Kiểm soát nội bộ</t>
        </is>
      </c>
      <c r="E94" s="5" t="inlineStr">
        <is>
          <t>Phan Thanh Thảo</t>
        </is>
      </c>
      <c r="F94" s="5" t="inlineStr">
        <is>
          <t>Soạn thảo &amp; Ban hành Văn bản điều hành</t>
        </is>
      </c>
      <c r="G94" s="10" t="inlineStr">
        <is>
          <t>Định kỳ (Thấp)</t>
        </is>
      </c>
      <c r="H94" s="5" t="inlineStr">
        <is>
          <t>Bán tự động (Excel + Biểu mẫu)</t>
        </is>
      </c>
      <c r="I94" s="12" t="n">
        <v>74</v>
      </c>
      <c r="J94" s="12" t="n">
        <v>63</v>
      </c>
      <c r="K94" s="13">
        <f>J94/I94</f>
        <v/>
      </c>
      <c r="L94" s="12" t="n">
        <v>43500000</v>
      </c>
      <c r="M94" s="12" t="n">
        <v>35100000</v>
      </c>
      <c r="N94" s="13">
        <f>M94/L94</f>
        <v/>
      </c>
      <c r="O94" s="12">
        <f>L94-M94</f>
        <v/>
      </c>
      <c r="P94" s="12" t="n">
        <v>193</v>
      </c>
      <c r="Q94" s="10" t="inlineStr">
        <is>
          <t>Hoàn thành</t>
        </is>
      </c>
      <c r="R94" s="10">
        <f>IF(OR(K94&lt;0.75, N94&gt;1.0, Q94="Quá hạn xử lý"), "Rủi ro Cao (Cần xử lý)", IF(K94&lt;0.88, "Rủi ro Trung bình", "An toàn / Tốt"))</f>
        <v/>
      </c>
    </row>
    <row r="95">
      <c r="A95" s="14" t="inlineStr">
        <is>
          <t>NV-092</t>
        </is>
      </c>
      <c r="B95" s="15" t="n">
        <v>46059</v>
      </c>
      <c r="C95" s="14" t="inlineStr">
        <is>
          <t>Tháng 02/2026</t>
        </is>
      </c>
      <c r="D95" s="16" t="inlineStr">
        <is>
          <t>Phòng Pháp chế &amp; Kiểm soát nội bộ</t>
        </is>
      </c>
      <c r="E95" s="16" t="inlineStr">
        <is>
          <t>Trương Quang Vinh</t>
        </is>
      </c>
      <c r="F95" s="16" t="inlineStr">
        <is>
          <t>Thẩm định Hồ sơ đấu thầu &amp; Mua sắm</t>
        </is>
      </c>
      <c r="G95" s="14" t="inlineStr">
        <is>
          <t>Quan trọng (Trung bình)</t>
        </is>
      </c>
      <c r="H95" s="16" t="inlineStr">
        <is>
          <t>Tự động hóa bằng AI Agent</t>
        </is>
      </c>
      <c r="I95" s="17" t="n">
        <v>88</v>
      </c>
      <c r="J95" s="17" t="n">
        <v>73</v>
      </c>
      <c r="K95" s="18">
        <f>J95/I95</f>
        <v/>
      </c>
      <c r="L95" s="17" t="n">
        <v>139500000</v>
      </c>
      <c r="M95" s="17" t="n">
        <v>148100000</v>
      </c>
      <c r="N95" s="18">
        <f>M95/L95</f>
        <v/>
      </c>
      <c r="O95" s="17">
        <f>L95-M95</f>
        <v/>
      </c>
      <c r="P95" s="17" t="n">
        <v>96</v>
      </c>
      <c r="Q95" s="14" t="inlineStr">
        <is>
          <t>Quá hạn xử lý</t>
        </is>
      </c>
      <c r="R95" s="14">
        <f>IF(OR(K95&lt;0.75, N95&gt;1.0, Q95="Quá hạn xử lý"), "Rủi ro Cao (Cần xử lý)", IF(K95&lt;0.88, "Rủi ro Trung bình", "An toàn / Tốt"))</f>
        <v/>
      </c>
    </row>
    <row r="96">
      <c r="A96" s="10" t="inlineStr">
        <is>
          <t>NV-093</t>
        </is>
      </c>
      <c r="B96" s="11" t="n">
        <v>46079</v>
      </c>
      <c r="C96" s="10" t="inlineStr">
        <is>
          <t>Tháng 02/2026</t>
        </is>
      </c>
      <c r="D96" s="5" t="inlineStr">
        <is>
          <t>Ban Quản lý Dự án Đầu tư &amp; Hạ tầng</t>
        </is>
      </c>
      <c r="E96" s="5" t="inlineStr">
        <is>
          <t>Đinh Quốc Huy</t>
        </is>
      </c>
      <c r="F96" s="5" t="inlineStr">
        <is>
          <t>Triển khai Hạ tầng &amp; Phần mềm AI nội bộ</t>
        </is>
      </c>
      <c r="G96" s="10" t="inlineStr">
        <is>
          <t>Khẩn cấp (Cao)</t>
        </is>
      </c>
      <c r="H96" s="5" t="inlineStr">
        <is>
          <t>Phần mềm Quản lý (E-Office)</t>
        </is>
      </c>
      <c r="I96" s="12" t="n">
        <v>76</v>
      </c>
      <c r="J96" s="12" t="n">
        <v>57</v>
      </c>
      <c r="K96" s="13">
        <f>J96/I96</f>
        <v/>
      </c>
      <c r="L96" s="12" t="n">
        <v>311500000</v>
      </c>
      <c r="M96" s="12" t="n">
        <v>144300000</v>
      </c>
      <c r="N96" s="13">
        <f>M96/L96</f>
        <v/>
      </c>
      <c r="O96" s="12">
        <f>L96-M96</f>
        <v/>
      </c>
      <c r="P96" s="12" t="n">
        <v>136</v>
      </c>
      <c r="Q96" s="10" t="inlineStr">
        <is>
          <t>Hoàn thành</t>
        </is>
      </c>
      <c r="R96" s="10">
        <f>IF(OR(K96&lt;0.75, N96&gt;1.0, Q96="Quá hạn xử lý"), "Rủi ro Cao (Cần xử lý)", IF(K96&lt;0.88, "Rủi ro Trung bình", "An toàn / Tốt"))</f>
        <v/>
      </c>
    </row>
    <row r="97">
      <c r="A97" s="14" t="inlineStr">
        <is>
          <t>NV-094</t>
        </is>
      </c>
      <c r="B97" s="15" t="n">
        <v>46105</v>
      </c>
      <c r="C97" s="14" t="inlineStr">
        <is>
          <t>Tháng 03/2026</t>
        </is>
      </c>
      <c r="D97" s="16" t="inlineStr">
        <is>
          <t>Trung tâm Công nghệ &amp; Chuyển đổi số</t>
        </is>
      </c>
      <c r="E97" s="16" t="inlineStr">
        <is>
          <t>Bùi Thanh Tùng</t>
        </is>
      </c>
      <c r="F97" s="16" t="inlineStr">
        <is>
          <t>Triển khai Hạ tầng &amp; Phần mềm AI nội bộ</t>
        </is>
      </c>
      <c r="G97" s="14" t="inlineStr">
        <is>
          <t>Định kỳ (Thấp)</t>
        </is>
      </c>
      <c r="H97" s="16" t="inlineStr">
        <is>
          <t>Bán tự động (Excel + Biểu mẫu)</t>
        </is>
      </c>
      <c r="I97" s="17" t="n">
        <v>84</v>
      </c>
      <c r="J97" s="17" t="n">
        <v>59</v>
      </c>
      <c r="K97" s="18">
        <f>J97/I97</f>
        <v/>
      </c>
      <c r="L97" s="17" t="n">
        <v>459000000</v>
      </c>
      <c r="M97" s="17" t="n">
        <v>372200000</v>
      </c>
      <c r="N97" s="18">
        <f>M97/L97</f>
        <v/>
      </c>
      <c r="O97" s="17">
        <f>L97-M97</f>
        <v/>
      </c>
      <c r="P97" s="17" t="n">
        <v>138</v>
      </c>
      <c r="Q97" s="14" t="inlineStr">
        <is>
          <t>Đang thực hiện</t>
        </is>
      </c>
      <c r="R97" s="14">
        <f>IF(OR(K97&lt;0.75, N97&gt;1.0, Q97="Quá hạn xử lý"), "Rủi ro Cao (Cần xử lý)", IF(K97&lt;0.88, "Rủi ro Trung bình", "An toàn / Tốt"))</f>
        <v/>
      </c>
    </row>
    <row r="98">
      <c r="A98" s="10" t="inlineStr">
        <is>
          <t>NV-095</t>
        </is>
      </c>
      <c r="B98" s="11" t="n">
        <v>46158</v>
      </c>
      <c r="C98" s="10" t="inlineStr">
        <is>
          <t>Tháng 05/2026</t>
        </is>
      </c>
      <c r="D98" s="5" t="inlineStr">
        <is>
          <t>Ban Quản lý Dự án Đầu tư &amp; Hạ tầng</t>
        </is>
      </c>
      <c r="E98" s="5" t="inlineStr">
        <is>
          <t>Mai Anh Tuấn</t>
        </is>
      </c>
      <c r="F98" s="5" t="inlineStr">
        <is>
          <t>Thẩm định Hồ sơ đấu thầu &amp; Mua sắm</t>
        </is>
      </c>
      <c r="G98" s="10" t="inlineStr">
        <is>
          <t>Khẩn cấp (Cao)</t>
        </is>
      </c>
      <c r="H98" s="5" t="inlineStr">
        <is>
          <t>Phần mềm Quản lý (E-Office)</t>
        </is>
      </c>
      <c r="I98" s="12" t="n">
        <v>33</v>
      </c>
      <c r="J98" s="12" t="n">
        <v>27</v>
      </c>
      <c r="K98" s="13">
        <f>J98/I98</f>
        <v/>
      </c>
      <c r="L98" s="12" t="n">
        <v>416000000</v>
      </c>
      <c r="M98" s="12" t="n">
        <v>420700000</v>
      </c>
      <c r="N98" s="13">
        <f>M98/L98</f>
        <v/>
      </c>
      <c r="O98" s="12">
        <f>L98-M98</f>
        <v/>
      </c>
      <c r="P98" s="12" t="n">
        <v>45</v>
      </c>
      <c r="Q98" s="10" t="inlineStr">
        <is>
          <t>Hoàn thành</t>
        </is>
      </c>
      <c r="R98" s="10">
        <f>IF(OR(K98&lt;0.75, N98&gt;1.0, Q98="Quá hạn xử lý"), "Rủi ro Cao (Cần xử lý)", IF(K98&lt;0.88, "Rủi ro Trung bình", "An toàn / Tốt"))</f>
        <v/>
      </c>
    </row>
    <row r="99">
      <c r="A99" s="14" t="inlineStr">
        <is>
          <t>NV-096</t>
        </is>
      </c>
      <c r="B99" s="15" t="n">
        <v>46093</v>
      </c>
      <c r="C99" s="14" t="inlineStr">
        <is>
          <t>Tháng 03/2026</t>
        </is>
      </c>
      <c r="D99" s="16" t="inlineStr">
        <is>
          <t>Phòng Tổ chức - Nhân sự &amp; Đào tạo</t>
        </is>
      </c>
      <c r="E99" s="16" t="inlineStr">
        <is>
          <t>Lý Minh Khôi</t>
        </is>
      </c>
      <c r="F99" s="16" t="inlineStr">
        <is>
          <t>Thanh quyết toán &amp; Giải ngân Dự án</t>
        </is>
      </c>
      <c r="G99" s="14" t="inlineStr">
        <is>
          <t>Định kỳ (Thấp)</t>
        </is>
      </c>
      <c r="H99" s="16" t="inlineStr">
        <is>
          <t>Bán tự động (Excel + Biểu mẫu)</t>
        </is>
      </c>
      <c r="I99" s="17" t="n">
        <v>84</v>
      </c>
      <c r="J99" s="17" t="n">
        <v>62</v>
      </c>
      <c r="K99" s="18">
        <f>J99/I99</f>
        <v/>
      </c>
      <c r="L99" s="17" t="n">
        <v>90500000</v>
      </c>
      <c r="M99" s="17" t="n">
        <v>72000000</v>
      </c>
      <c r="N99" s="18">
        <f>M99/L99</f>
        <v/>
      </c>
      <c r="O99" s="17">
        <f>L99-M99</f>
        <v/>
      </c>
      <c r="P99" s="17" t="n">
        <v>195</v>
      </c>
      <c r="Q99" s="14" t="inlineStr">
        <is>
          <t>Đang thực hiện</t>
        </is>
      </c>
      <c r="R99" s="14">
        <f>IF(OR(K99&lt;0.75, N99&gt;1.0, Q99="Quá hạn xử lý"), "Rủi ro Cao (Cần xử lý)", IF(K99&lt;0.88, "Rủi ro Trung bình", "An toàn / Tốt"))</f>
        <v/>
      </c>
    </row>
    <row r="100">
      <c r="A100" s="10" t="inlineStr">
        <is>
          <t>NV-097</t>
        </is>
      </c>
      <c r="B100" s="11" t="n">
        <v>46160</v>
      </c>
      <c r="C100" s="10" t="inlineStr">
        <is>
          <t>Tháng 05/2026</t>
        </is>
      </c>
      <c r="D100" s="5" t="inlineStr">
        <is>
          <t>Phòng Pháp chế &amp; Kiểm soát nội bộ</t>
        </is>
      </c>
      <c r="E100" s="5" t="inlineStr">
        <is>
          <t>Trương Quang Vinh</t>
        </is>
      </c>
      <c r="F100" s="5" t="inlineStr">
        <is>
          <t>Soạn thảo &amp; Ban hành Văn bản điều hành</t>
        </is>
      </c>
      <c r="G100" s="10" t="inlineStr">
        <is>
          <t>Quan trọng (Trung bình)</t>
        </is>
      </c>
      <c r="H100" s="5" t="inlineStr">
        <is>
          <t>Bán tự động (Excel + Biểu mẫu)</t>
        </is>
      </c>
      <c r="I100" s="12" t="n">
        <v>88</v>
      </c>
      <c r="J100" s="12" t="n">
        <v>61</v>
      </c>
      <c r="K100" s="13">
        <f>J100/I100</f>
        <v/>
      </c>
      <c r="L100" s="12" t="n">
        <v>142000000</v>
      </c>
      <c r="M100" s="12" t="n">
        <v>114000000</v>
      </c>
      <c r="N100" s="13">
        <f>M100/L100</f>
        <v/>
      </c>
      <c r="O100" s="12">
        <f>L100-M100</f>
        <v/>
      </c>
      <c r="P100" s="12" t="n">
        <v>185</v>
      </c>
      <c r="Q100" s="10" t="inlineStr">
        <is>
          <t>Quá hạn xử lý</t>
        </is>
      </c>
      <c r="R100" s="10">
        <f>IF(OR(K100&lt;0.75, N100&gt;1.0, Q100="Quá hạn xử lý"), "Rủi ro Cao (Cần xử lý)", IF(K100&lt;0.88, "Rủi ro Trung bình", "An toàn / Tốt"))</f>
        <v/>
      </c>
    </row>
    <row r="101">
      <c r="A101" s="14" t="inlineStr">
        <is>
          <t>NV-098</t>
        </is>
      </c>
      <c r="B101" s="15" t="n">
        <v>46179</v>
      </c>
      <c r="C101" s="14" t="inlineStr">
        <is>
          <t>Tháng 06/2026</t>
        </is>
      </c>
      <c r="D101" s="16" t="inlineStr">
        <is>
          <t>Trung tâm Công nghệ &amp; Chuyển đổi số</t>
        </is>
      </c>
      <c r="E101" s="16" t="inlineStr">
        <is>
          <t>Bùi Thanh Tùng</t>
        </is>
      </c>
      <c r="F101" s="16" t="inlineStr">
        <is>
          <t>Triển khai Hạ tầng &amp; Phần mềm AI nội bộ</t>
        </is>
      </c>
      <c r="G101" s="14" t="inlineStr">
        <is>
          <t>Khẩn cấp (Cao)</t>
        </is>
      </c>
      <c r="H101" s="16" t="inlineStr">
        <is>
          <t>Tự động hóa bằng AI Agent</t>
        </is>
      </c>
      <c r="I101" s="17" t="n">
        <v>62</v>
      </c>
      <c r="J101" s="17" t="n">
        <v>51</v>
      </c>
      <c r="K101" s="18">
        <f>J101/I101</f>
        <v/>
      </c>
      <c r="L101" s="17" t="n">
        <v>506000000</v>
      </c>
      <c r="M101" s="17" t="n">
        <v>521000000</v>
      </c>
      <c r="N101" s="18">
        <f>M101/L101</f>
        <v/>
      </c>
      <c r="O101" s="17">
        <f>L101-M101</f>
        <v/>
      </c>
      <c r="P101" s="17" t="n">
        <v>109</v>
      </c>
      <c r="Q101" s="14" t="inlineStr">
        <is>
          <t>Đang thực hiện</t>
        </is>
      </c>
      <c r="R101" s="14">
        <f>IF(OR(K101&lt;0.75, N101&gt;1.0, Q101="Quá hạn xử lý"), "Rủi ro Cao (Cần xử lý)", IF(K101&lt;0.88, "Rủi ro Trung bình", "An toàn / Tốt"))</f>
        <v/>
      </c>
    </row>
    <row r="102">
      <c r="A102" s="10" t="inlineStr">
        <is>
          <t>NV-099</t>
        </is>
      </c>
      <c r="B102" s="11" t="n">
        <v>46196</v>
      </c>
      <c r="C102" s="10" t="inlineStr">
        <is>
          <t>Tháng 06/2026</t>
        </is>
      </c>
      <c r="D102" s="5" t="inlineStr">
        <is>
          <t>Phòng Kế hoạch - Tài chính</t>
        </is>
      </c>
      <c r="E102" s="5" t="inlineStr">
        <is>
          <t>Phạm Minh Đức</t>
        </is>
      </c>
      <c r="F102" s="5" t="inlineStr">
        <is>
          <t>Thanh quyết toán &amp; Giải ngân Dự án</t>
        </is>
      </c>
      <c r="G102" s="10" t="inlineStr">
        <is>
          <t>Định kỳ (Thấp)</t>
        </is>
      </c>
      <c r="H102" s="5" t="inlineStr">
        <is>
          <t>Phần mềm Quản lý (E-Office)</t>
        </is>
      </c>
      <c r="I102" s="12" t="n">
        <v>141</v>
      </c>
      <c r="J102" s="12" t="n">
        <v>127</v>
      </c>
      <c r="K102" s="13">
        <f>J102/I102</f>
        <v/>
      </c>
      <c r="L102" s="12" t="n">
        <v>345500000</v>
      </c>
      <c r="M102" s="12" t="n">
        <v>259300000</v>
      </c>
      <c r="N102" s="13">
        <f>M102/L102</f>
        <v/>
      </c>
      <c r="O102" s="12">
        <f>L102-M102</f>
        <v/>
      </c>
      <c r="P102" s="12" t="n">
        <v>155</v>
      </c>
      <c r="Q102" s="10" t="inlineStr">
        <is>
          <t>Hoàn thành</t>
        </is>
      </c>
      <c r="R102" s="10">
        <f>IF(OR(K102&lt;0.75, N102&gt;1.0, Q102="Quá hạn xử lý"), "Rủi ro Cao (Cần xử lý)", IF(K102&lt;0.88, "Rủi ro Trung bình", "An toàn / Tốt"))</f>
        <v/>
      </c>
    </row>
    <row r="103">
      <c r="A103" s="14" t="inlineStr">
        <is>
          <t>NV-100</t>
        </is>
      </c>
      <c r="B103" s="15" t="n">
        <v>46119</v>
      </c>
      <c r="C103" s="14" t="inlineStr">
        <is>
          <t>Tháng 04/2026</t>
        </is>
      </c>
      <c r="D103" s="16" t="inlineStr">
        <is>
          <t>Phòng Tổ chức - Nhân sự &amp; Đào tạo</t>
        </is>
      </c>
      <c r="E103" s="16" t="inlineStr">
        <is>
          <t>Lý Minh Khôi</t>
        </is>
      </c>
      <c r="F103" s="16" t="inlineStr">
        <is>
          <t>Kiểm tra, Rà soát Pháp lý &amp; Tuân thủ</t>
        </is>
      </c>
      <c r="G103" s="14" t="inlineStr">
        <is>
          <t>Quan trọng (Trung bình)</t>
        </is>
      </c>
      <c r="H103" s="16" t="inlineStr">
        <is>
          <t>Bán tự động (Excel + Biểu mẫu)</t>
        </is>
      </c>
      <c r="I103" s="17" t="n">
        <v>114</v>
      </c>
      <c r="J103" s="17" t="n">
        <v>92</v>
      </c>
      <c r="K103" s="18">
        <f>J103/I103</f>
        <v/>
      </c>
      <c r="L103" s="17" t="n">
        <v>75500000</v>
      </c>
      <c r="M103" s="17" t="n">
        <v>63500000</v>
      </c>
      <c r="N103" s="18">
        <f>M103/L103</f>
        <v/>
      </c>
      <c r="O103" s="17">
        <f>L103-M103</f>
        <v/>
      </c>
      <c r="P103" s="17" t="n">
        <v>184</v>
      </c>
      <c r="Q103" s="14" t="inlineStr">
        <is>
          <t>Hoàn thành</t>
        </is>
      </c>
      <c r="R103" s="14">
        <f>IF(OR(K103&lt;0.75, N103&gt;1.0, Q103="Quá hạn xử lý"), "Rủi ro Cao (Cần xử lý)", IF(K103&lt;0.88, "Rủi ro Trung bình", "An toàn / Tốt"))</f>
        <v/>
      </c>
    </row>
    <row r="104">
      <c r="A104" s="10" t="inlineStr">
        <is>
          <t>NV-101</t>
        </is>
      </c>
      <c r="B104" s="11" t="n">
        <v>46165</v>
      </c>
      <c r="C104" s="10" t="inlineStr">
        <is>
          <t>Tháng 05/2026</t>
        </is>
      </c>
      <c r="D104" s="5" t="inlineStr">
        <is>
          <t>Trung tâm Công nghệ &amp; Chuyển đổi số</t>
        </is>
      </c>
      <c r="E104" s="5" t="inlineStr">
        <is>
          <t>Hoàng Tuấn Anh</t>
        </is>
      </c>
      <c r="F104" s="5" t="inlineStr">
        <is>
          <t>Thanh quyết toán &amp; Giải ngân Dự án</t>
        </is>
      </c>
      <c r="G104" s="10" t="inlineStr">
        <is>
          <t>Định kỳ (Thấp)</t>
        </is>
      </c>
      <c r="H104" s="5" t="inlineStr">
        <is>
          <t>Bán tự động (Excel + Biểu mẫu)</t>
        </is>
      </c>
      <c r="I104" s="12" t="n">
        <v>35</v>
      </c>
      <c r="J104" s="12" t="n">
        <v>24</v>
      </c>
      <c r="K104" s="13">
        <f>J104/I104</f>
        <v/>
      </c>
      <c r="L104" s="12" t="n">
        <v>417500000</v>
      </c>
      <c r="M104" s="12" t="n">
        <v>363200000</v>
      </c>
      <c r="N104" s="13">
        <f>M104/L104</f>
        <v/>
      </c>
      <c r="O104" s="12">
        <f>L104-M104</f>
        <v/>
      </c>
      <c r="P104" s="12" t="n">
        <v>73</v>
      </c>
      <c r="Q104" s="10" t="inlineStr">
        <is>
          <t>Quá hạn xử lý</t>
        </is>
      </c>
      <c r="R104" s="10">
        <f>IF(OR(K104&lt;0.75, N104&gt;1.0, Q104="Quá hạn xử lý"), "Rủi ro Cao (Cần xử lý)", IF(K104&lt;0.88, "Rủi ro Trung bình", "An toàn / Tốt"))</f>
        <v/>
      </c>
    </row>
    <row r="105">
      <c r="A105" s="14" t="inlineStr">
        <is>
          <t>NV-102</t>
        </is>
      </c>
      <c r="B105" s="15" t="n">
        <v>46089</v>
      </c>
      <c r="C105" s="14" t="inlineStr">
        <is>
          <t>Tháng 03/2026</t>
        </is>
      </c>
      <c r="D105" s="16" t="inlineStr">
        <is>
          <t>Ban Quản lý Dự án Đầu tư &amp; Hạ tầng</t>
        </is>
      </c>
      <c r="E105" s="16" t="inlineStr">
        <is>
          <t>Mai Anh Tuấn</t>
        </is>
      </c>
      <c r="F105" s="16" t="inlineStr">
        <is>
          <t>Thanh quyết toán &amp; Giải ngân Dự án</t>
        </is>
      </c>
      <c r="G105" s="14" t="inlineStr">
        <is>
          <t>Định kỳ (Thấp)</t>
        </is>
      </c>
      <c r="H105" s="16" t="inlineStr">
        <is>
          <t>Xử lý Thủ công (Hồ sơ giấy)</t>
        </is>
      </c>
      <c r="I105" s="17" t="n">
        <v>26</v>
      </c>
      <c r="J105" s="17" t="n">
        <v>15</v>
      </c>
      <c r="K105" s="18">
        <f>J105/I105</f>
        <v/>
      </c>
      <c r="L105" s="17" t="n">
        <v>538500000</v>
      </c>
      <c r="M105" s="17" t="n">
        <v>482900000</v>
      </c>
      <c r="N105" s="18">
        <f>M105/L105</f>
        <v/>
      </c>
      <c r="O105" s="17">
        <f>L105-M105</f>
        <v/>
      </c>
      <c r="P105" s="17" t="n">
        <v>73</v>
      </c>
      <c r="Q105" s="14" t="inlineStr">
        <is>
          <t>Đang thực hiện</t>
        </is>
      </c>
      <c r="R105" s="14">
        <f>IF(OR(K105&lt;0.75, N105&gt;1.0, Q105="Quá hạn xử lý"), "Rủi ro Cao (Cần xử lý)", IF(K105&lt;0.88, "Rủi ro Trung bình", "An toàn / Tốt"))</f>
        <v/>
      </c>
    </row>
    <row r="106">
      <c r="A106" s="10" t="inlineStr">
        <is>
          <t>NV-103</t>
        </is>
      </c>
      <c r="B106" s="11" t="n">
        <v>46033</v>
      </c>
      <c r="C106" s="10" t="inlineStr">
        <is>
          <t>Tháng 01/2026</t>
        </is>
      </c>
      <c r="D106" s="5" t="inlineStr">
        <is>
          <t>Ban Quản lý Dự án Đầu tư &amp; Hạ tầng</t>
        </is>
      </c>
      <c r="E106" s="5" t="inlineStr">
        <is>
          <t>Võ Đình Trọng</t>
        </is>
      </c>
      <c r="F106" s="5" t="inlineStr">
        <is>
          <t>Triển khai Hạ tầng &amp; Phần mềm AI nội bộ</t>
        </is>
      </c>
      <c r="G106" s="10" t="inlineStr">
        <is>
          <t>Khẩn cấp (Cao)</t>
        </is>
      </c>
      <c r="H106" s="5" t="inlineStr">
        <is>
          <t>Tự động hóa bằng AI Agent</t>
        </is>
      </c>
      <c r="I106" s="12" t="n">
        <v>59</v>
      </c>
      <c r="J106" s="12" t="n">
        <v>52</v>
      </c>
      <c r="K106" s="13">
        <f>J106/I106</f>
        <v/>
      </c>
      <c r="L106" s="12" t="n">
        <v>166000000</v>
      </c>
      <c r="M106" s="12" t="n">
        <v>124100000</v>
      </c>
      <c r="N106" s="13">
        <f>M106/L106</f>
        <v/>
      </c>
      <c r="O106" s="12">
        <f>L106-M106</f>
        <v/>
      </c>
      <c r="P106" s="12" t="n">
        <v>51</v>
      </c>
      <c r="Q106" s="10" t="inlineStr">
        <is>
          <t>Hoàn thành</t>
        </is>
      </c>
      <c r="R106" s="10">
        <f>IF(OR(K106&lt;0.75, N106&gt;1.0, Q106="Quá hạn xử lý"), "Rủi ro Cao (Cần xử lý)", IF(K106&lt;0.88, "Rủi ro Trung bình", "An toàn / Tốt"))</f>
        <v/>
      </c>
    </row>
    <row r="107">
      <c r="A107" s="14" t="inlineStr">
        <is>
          <t>NV-104</t>
        </is>
      </c>
      <c r="B107" s="15" t="n">
        <v>46153</v>
      </c>
      <c r="C107" s="14" t="inlineStr">
        <is>
          <t>Tháng 05/2026</t>
        </is>
      </c>
      <c r="D107" s="16" t="inlineStr">
        <is>
          <t>Văn phòng &amp; Hành chính Tổng hợp</t>
        </is>
      </c>
      <c r="E107" s="16" t="inlineStr">
        <is>
          <t>Trần Thị Mai</t>
        </is>
      </c>
      <c r="F107" s="16" t="inlineStr">
        <is>
          <t>Soạn thảo &amp; Ban hành Văn bản điều hành</t>
        </is>
      </c>
      <c r="G107" s="14" t="inlineStr">
        <is>
          <t>Quan trọng (Trung bình)</t>
        </is>
      </c>
      <c r="H107" s="16" t="inlineStr">
        <is>
          <t>Xử lý Thủ công (Hồ sơ giấy)</t>
        </is>
      </c>
      <c r="I107" s="17" t="n">
        <v>147</v>
      </c>
      <c r="J107" s="17" t="n">
        <v>93</v>
      </c>
      <c r="K107" s="18">
        <f>J107/I107</f>
        <v/>
      </c>
      <c r="L107" s="17" t="n">
        <v>100000000</v>
      </c>
      <c r="M107" s="17" t="n">
        <v>85100000</v>
      </c>
      <c r="N107" s="18">
        <f>M107/L107</f>
        <v/>
      </c>
      <c r="O107" s="17">
        <f>L107-M107</f>
        <v/>
      </c>
      <c r="P107" s="17" t="n">
        <v>381</v>
      </c>
      <c r="Q107" s="14" t="inlineStr">
        <is>
          <t>Quá hạn xử lý</t>
        </is>
      </c>
      <c r="R107" s="14">
        <f>IF(OR(K107&lt;0.75, N107&gt;1.0, Q107="Quá hạn xử lý"), "Rủi ro Cao (Cần xử lý)", IF(K107&lt;0.88, "Rủi ro Trung bình", "An toàn / Tốt"))</f>
        <v/>
      </c>
    </row>
    <row r="108">
      <c r="A108" s="10" t="inlineStr">
        <is>
          <t>NV-105</t>
        </is>
      </c>
      <c r="B108" s="11" t="n">
        <v>46057</v>
      </c>
      <c r="C108" s="10" t="inlineStr">
        <is>
          <t>Tháng 02/2026</t>
        </is>
      </c>
      <c r="D108" s="5" t="inlineStr">
        <is>
          <t>Ban Quản lý Dự án Đầu tư &amp; Hạ tầng</t>
        </is>
      </c>
      <c r="E108" s="5" t="inlineStr">
        <is>
          <t>Đinh Quốc Huy</t>
        </is>
      </c>
      <c r="F108" s="5" t="inlineStr">
        <is>
          <t>Thanh quyết toán &amp; Giải ngân Dự án</t>
        </is>
      </c>
      <c r="G108" s="10" t="inlineStr">
        <is>
          <t>Khẩn cấp (Cao)</t>
        </is>
      </c>
      <c r="H108" s="5" t="inlineStr">
        <is>
          <t>Tự động hóa bằng AI Agent</t>
        </is>
      </c>
      <c r="I108" s="12" t="n">
        <v>67</v>
      </c>
      <c r="J108" s="12" t="n">
        <v>66</v>
      </c>
      <c r="K108" s="13">
        <f>J108/I108</f>
        <v/>
      </c>
      <c r="L108" s="12" t="n">
        <v>467500000</v>
      </c>
      <c r="M108" s="12" t="n">
        <v>327700000</v>
      </c>
      <c r="N108" s="13">
        <f>M108/L108</f>
        <v/>
      </c>
      <c r="O108" s="12">
        <f>L108-M108</f>
        <v/>
      </c>
      <c r="P108" s="12" t="n">
        <v>65</v>
      </c>
      <c r="Q108" s="10" t="inlineStr">
        <is>
          <t>Hoàn thành</t>
        </is>
      </c>
      <c r="R108" s="10">
        <f>IF(OR(K108&lt;0.75, N108&gt;1.0, Q108="Quá hạn xử lý"), "Rủi ro Cao (Cần xử lý)", IF(K108&lt;0.88, "Rủi ro Trung bình", "An toàn / Tốt"))</f>
        <v/>
      </c>
    </row>
    <row r="109">
      <c r="A109" s="14" t="inlineStr">
        <is>
          <t>NV-106</t>
        </is>
      </c>
      <c r="B109" s="15" t="n">
        <v>46084</v>
      </c>
      <c r="C109" s="14" t="inlineStr">
        <is>
          <t>Tháng 03/2026</t>
        </is>
      </c>
      <c r="D109" s="16" t="inlineStr">
        <is>
          <t>Trung tâm Công nghệ &amp; Chuyển đổi số</t>
        </is>
      </c>
      <c r="E109" s="16" t="inlineStr">
        <is>
          <t>Hoàng Tuấn Anh</t>
        </is>
      </c>
      <c r="F109" s="16" t="inlineStr">
        <is>
          <t>Triển khai Hạ tầng &amp; Phần mềm AI nội bộ</t>
        </is>
      </c>
      <c r="G109" s="14" t="inlineStr">
        <is>
          <t>Quan trọng (Trung bình)</t>
        </is>
      </c>
      <c r="H109" s="16" t="inlineStr">
        <is>
          <t>Tự động hóa bằng AI Agent</t>
        </is>
      </c>
      <c r="I109" s="17" t="n">
        <v>20</v>
      </c>
      <c r="J109" s="17" t="n">
        <v>17</v>
      </c>
      <c r="K109" s="18">
        <f>J109/I109</f>
        <v/>
      </c>
      <c r="L109" s="17" t="n">
        <v>538000000</v>
      </c>
      <c r="M109" s="17" t="n">
        <v>454800000</v>
      </c>
      <c r="N109" s="18">
        <f>M109/L109</f>
        <v/>
      </c>
      <c r="O109" s="17">
        <f>L109-M109</f>
        <v/>
      </c>
      <c r="P109" s="17" t="n">
        <v>34</v>
      </c>
      <c r="Q109" s="14" t="inlineStr">
        <is>
          <t>Hoàn thành</t>
        </is>
      </c>
      <c r="R109" s="14">
        <f>IF(OR(K109&lt;0.75, N109&gt;1.0, Q109="Quá hạn xử lý"), "Rủi ro Cao (Cần xử lý)", IF(K109&lt;0.88, "Rủi ro Trung bình", "An toàn / Tốt"))</f>
        <v/>
      </c>
    </row>
    <row r="110">
      <c r="A110" s="10" t="inlineStr">
        <is>
          <t>NV-107</t>
        </is>
      </c>
      <c r="B110" s="11" t="n">
        <v>46154</v>
      </c>
      <c r="C110" s="10" t="inlineStr">
        <is>
          <t>Tháng 05/2026</t>
        </is>
      </c>
      <c r="D110" s="5" t="inlineStr">
        <is>
          <t>Ban Quản lý Dự án Đầu tư &amp; Hạ tầng</t>
        </is>
      </c>
      <c r="E110" s="5" t="inlineStr">
        <is>
          <t>Mai Anh Tuấn</t>
        </is>
      </c>
      <c r="F110" s="5" t="inlineStr">
        <is>
          <t>Thanh quyết toán &amp; Giải ngân Dự án</t>
        </is>
      </c>
      <c r="G110" s="10" t="inlineStr">
        <is>
          <t>Khẩn cấp (Cao)</t>
        </is>
      </c>
      <c r="H110" s="5" t="inlineStr">
        <is>
          <t>Tự động hóa bằng AI Agent</t>
        </is>
      </c>
      <c r="I110" s="12" t="n">
        <v>25</v>
      </c>
      <c r="J110" s="12" t="n">
        <v>22</v>
      </c>
      <c r="K110" s="13">
        <f>J110/I110</f>
        <v/>
      </c>
      <c r="L110" s="12" t="n">
        <v>432500000</v>
      </c>
      <c r="M110" s="12" t="n">
        <v>406600000</v>
      </c>
      <c r="N110" s="13">
        <f>M110/L110</f>
        <v/>
      </c>
      <c r="O110" s="12">
        <f>L110-M110</f>
        <v/>
      </c>
      <c r="P110" s="12" t="n">
        <v>26</v>
      </c>
      <c r="Q110" s="10" t="inlineStr">
        <is>
          <t>Hoàn thành</t>
        </is>
      </c>
      <c r="R110" s="10">
        <f>IF(OR(K110&lt;0.75, N110&gt;1.0, Q110="Quá hạn xử lý"), "Rủi ro Cao (Cần xử lý)", IF(K110&lt;0.88, "Rủi ro Trung bình", "An toàn / Tốt"))</f>
        <v/>
      </c>
    </row>
    <row r="111">
      <c r="A111" s="14" t="inlineStr">
        <is>
          <t>NV-108</t>
        </is>
      </c>
      <c r="B111" s="15" t="n">
        <v>46145</v>
      </c>
      <c r="C111" s="14" t="inlineStr">
        <is>
          <t>Tháng 05/2026</t>
        </is>
      </c>
      <c r="D111" s="16" t="inlineStr">
        <is>
          <t>Văn phòng &amp; Hành chính Tổng hợp</t>
        </is>
      </c>
      <c r="E111" s="16" t="inlineStr">
        <is>
          <t>Nguyễn Văn Hùng</t>
        </is>
      </c>
      <c r="F111" s="16" t="inlineStr">
        <is>
          <t>Soạn thảo &amp; Ban hành Văn bản điều hành</t>
        </is>
      </c>
      <c r="G111" s="14" t="inlineStr">
        <is>
          <t>Quan trọng (Trung bình)</t>
        </is>
      </c>
      <c r="H111" s="16" t="inlineStr">
        <is>
          <t>Phần mềm Quản lý (E-Office)</t>
        </is>
      </c>
      <c r="I111" s="17" t="n">
        <v>209</v>
      </c>
      <c r="J111" s="17" t="n">
        <v>194</v>
      </c>
      <c r="K111" s="18">
        <f>J111/I111</f>
        <v/>
      </c>
      <c r="L111" s="17" t="n">
        <v>114500000</v>
      </c>
      <c r="M111" s="17" t="n">
        <v>88000000</v>
      </c>
      <c r="N111" s="18">
        <f>M111/L111</f>
        <v/>
      </c>
      <c r="O111" s="17">
        <f>L111-M111</f>
        <v/>
      </c>
      <c r="P111" s="17" t="n">
        <v>457</v>
      </c>
      <c r="Q111" s="14" t="inlineStr">
        <is>
          <t>Hoàn thành</t>
        </is>
      </c>
      <c r="R111" s="14">
        <f>IF(OR(K111&lt;0.75, N111&gt;1.0, Q111="Quá hạn xử lý"), "Rủi ro Cao (Cần xử lý)", IF(K111&lt;0.88, "Rủi ro Trung bình", "An toàn / Tốt"))</f>
        <v/>
      </c>
    </row>
    <row r="112">
      <c r="A112" s="10" t="inlineStr">
        <is>
          <t>NV-109</t>
        </is>
      </c>
      <c r="B112" s="11" t="n">
        <v>46151</v>
      </c>
      <c r="C112" s="10" t="inlineStr">
        <is>
          <t>Tháng 05/2026</t>
        </is>
      </c>
      <c r="D112" s="5" t="inlineStr">
        <is>
          <t>Phòng Kế hoạch - Tài chính</t>
        </is>
      </c>
      <c r="E112" s="5" t="inlineStr">
        <is>
          <t>Phạm Minh Đức</t>
        </is>
      </c>
      <c r="F112" s="5" t="inlineStr">
        <is>
          <t>Thẩm định Hồ sơ đấu thầu &amp; Mua sắm</t>
        </is>
      </c>
      <c r="G112" s="10" t="inlineStr">
        <is>
          <t>Định kỳ (Thấp)</t>
        </is>
      </c>
      <c r="H112" s="5" t="inlineStr">
        <is>
          <t>Tự động hóa bằng AI Agent</t>
        </is>
      </c>
      <c r="I112" s="12" t="n">
        <v>130</v>
      </c>
      <c r="J112" s="12" t="n">
        <v>109</v>
      </c>
      <c r="K112" s="13">
        <f>J112/I112</f>
        <v/>
      </c>
      <c r="L112" s="12" t="n">
        <v>283000000</v>
      </c>
      <c r="M112" s="12" t="n">
        <v>214400000</v>
      </c>
      <c r="N112" s="13">
        <f>M112/L112</f>
        <v/>
      </c>
      <c r="O112" s="12">
        <f>L112-M112</f>
        <v/>
      </c>
      <c r="P112" s="12" t="n">
        <v>117</v>
      </c>
      <c r="Q112" s="10" t="inlineStr">
        <is>
          <t>Hoàn thành</t>
        </is>
      </c>
      <c r="R112" s="10">
        <f>IF(OR(K112&lt;0.75, N112&gt;1.0, Q112="Quá hạn xử lý"), "Rủi ro Cao (Cần xử lý)", IF(K112&lt;0.88, "Rủi ro Trung bình", "An toàn / Tốt"))</f>
        <v/>
      </c>
    </row>
    <row r="113">
      <c r="A113" s="14" t="inlineStr">
        <is>
          <t>NV-110</t>
        </is>
      </c>
      <c r="B113" s="15" t="n">
        <v>46187</v>
      </c>
      <c r="C113" s="14" t="inlineStr">
        <is>
          <t>Tháng 06/2026</t>
        </is>
      </c>
      <c r="D113" s="16" t="inlineStr">
        <is>
          <t>Ban Quản lý Dự án Đầu tư &amp; Hạ tầng</t>
        </is>
      </c>
      <c r="E113" s="16" t="inlineStr">
        <is>
          <t>Đinh Quốc Huy</t>
        </is>
      </c>
      <c r="F113" s="16" t="inlineStr">
        <is>
          <t>Triển khai Hạ tầng &amp; Phần mềm AI nội bộ</t>
        </is>
      </c>
      <c r="G113" s="14" t="inlineStr">
        <is>
          <t>Khẩn cấp (Cao)</t>
        </is>
      </c>
      <c r="H113" s="16" t="inlineStr">
        <is>
          <t>Bán tự động (Excel + Biểu mẫu)</t>
        </is>
      </c>
      <c r="I113" s="17" t="n">
        <v>36</v>
      </c>
      <c r="J113" s="17" t="n">
        <v>24</v>
      </c>
      <c r="K113" s="18">
        <f>J113/I113</f>
        <v/>
      </c>
      <c r="L113" s="17" t="n">
        <v>205500000</v>
      </c>
      <c r="M113" s="17" t="n">
        <v>159400000</v>
      </c>
      <c r="N113" s="18">
        <f>M113/L113</f>
        <v/>
      </c>
      <c r="O113" s="17">
        <f>L113-M113</f>
        <v/>
      </c>
      <c r="P113" s="17" t="n">
        <v>59</v>
      </c>
      <c r="Q113" s="14" t="inlineStr">
        <is>
          <t>Quá hạn xử lý</t>
        </is>
      </c>
      <c r="R113" s="14">
        <f>IF(OR(K113&lt;0.75, N113&gt;1.0, Q113="Quá hạn xử lý"), "Rủi ro Cao (Cần xử lý)", IF(K113&lt;0.88, "Rủi ro Trung bình", "An toàn / Tốt"))</f>
        <v/>
      </c>
    </row>
    <row r="114">
      <c r="A114" s="10" t="inlineStr">
        <is>
          <t>NV-111</t>
        </is>
      </c>
      <c r="B114" s="11" t="n">
        <v>46104</v>
      </c>
      <c r="C114" s="10" t="inlineStr">
        <is>
          <t>Tháng 03/2026</t>
        </is>
      </c>
      <c r="D114" s="5" t="inlineStr">
        <is>
          <t>Phòng Pháp chế &amp; Kiểm soát nội bộ</t>
        </is>
      </c>
      <c r="E114" s="5" t="inlineStr">
        <is>
          <t>Phan Thanh Thảo</t>
        </is>
      </c>
      <c r="F114" s="5" t="inlineStr">
        <is>
          <t>Tổ chức Hội nghị, Tập huấn &amp; Đào tạo</t>
        </is>
      </c>
      <c r="G114" s="10" t="inlineStr">
        <is>
          <t>Quan trọng (Trung bình)</t>
        </is>
      </c>
      <c r="H114" s="5" t="inlineStr">
        <is>
          <t>Xử lý Thủ công (Hồ sơ giấy)</t>
        </is>
      </c>
      <c r="I114" s="12" t="n">
        <v>78</v>
      </c>
      <c r="J114" s="12" t="n">
        <v>41</v>
      </c>
      <c r="K114" s="13">
        <f>J114/I114</f>
        <v/>
      </c>
      <c r="L114" s="12" t="n">
        <v>151500000</v>
      </c>
      <c r="M114" s="12" t="n">
        <v>135100000</v>
      </c>
      <c r="N114" s="13">
        <f>M114/L114</f>
        <v/>
      </c>
      <c r="O114" s="12">
        <f>L114-M114</f>
        <v/>
      </c>
      <c r="P114" s="12" t="n">
        <v>133</v>
      </c>
      <c r="Q114" s="10" t="inlineStr">
        <is>
          <t>Quá hạn xử lý</t>
        </is>
      </c>
      <c r="R114" s="10">
        <f>IF(OR(K114&lt;0.75, N114&gt;1.0, Q114="Quá hạn xử lý"), "Rủi ro Cao (Cần xử lý)", IF(K114&lt;0.88, "Rủi ro Trung bình", "An toàn / Tốt"))</f>
        <v/>
      </c>
    </row>
    <row r="115">
      <c r="A115" s="14" t="inlineStr">
        <is>
          <t>NV-112</t>
        </is>
      </c>
      <c r="B115" s="15" t="n">
        <v>46099</v>
      </c>
      <c r="C115" s="14" t="inlineStr">
        <is>
          <t>Tháng 03/2026</t>
        </is>
      </c>
      <c r="D115" s="16" t="inlineStr">
        <is>
          <t>Phòng Pháp chế &amp; Kiểm soát nội bộ</t>
        </is>
      </c>
      <c r="E115" s="16" t="inlineStr">
        <is>
          <t>Trương Quang Vinh</t>
        </is>
      </c>
      <c r="F115" s="16" t="inlineStr">
        <is>
          <t>Kiểm tra, Rà soát Pháp lý &amp; Tuân thủ</t>
        </is>
      </c>
      <c r="G115" s="14" t="inlineStr">
        <is>
          <t>Định kỳ (Thấp)</t>
        </is>
      </c>
      <c r="H115" s="16" t="inlineStr">
        <is>
          <t>Bán tự động (Excel + Biểu mẫu)</t>
        </is>
      </c>
      <c r="I115" s="17" t="n">
        <v>99</v>
      </c>
      <c r="J115" s="17" t="n">
        <v>75</v>
      </c>
      <c r="K115" s="18">
        <f>J115/I115</f>
        <v/>
      </c>
      <c r="L115" s="17" t="n">
        <v>147000000</v>
      </c>
      <c r="M115" s="17" t="n">
        <v>147700000</v>
      </c>
      <c r="N115" s="18">
        <f>M115/L115</f>
        <v/>
      </c>
      <c r="O115" s="17">
        <f>L115-M115</f>
        <v/>
      </c>
      <c r="P115" s="17" t="n">
        <v>263</v>
      </c>
      <c r="Q115" s="14" t="inlineStr">
        <is>
          <t>Hoàn thành</t>
        </is>
      </c>
      <c r="R115" s="14">
        <f>IF(OR(K115&lt;0.75, N115&gt;1.0, Q115="Quá hạn xử lý"), "Rủi ro Cao (Cần xử lý)", IF(K115&lt;0.88, "Rủi ro Trung bình", "An toàn / Tốt"))</f>
        <v/>
      </c>
    </row>
    <row r="116">
      <c r="A116" s="10" t="inlineStr">
        <is>
          <t>NV-113</t>
        </is>
      </c>
      <c r="B116" s="11" t="n">
        <v>46087</v>
      </c>
      <c r="C116" s="10" t="inlineStr">
        <is>
          <t>Tháng 03/2026</t>
        </is>
      </c>
      <c r="D116" s="5" t="inlineStr">
        <is>
          <t>Văn phòng &amp; Hành chính Tổng hợp</t>
        </is>
      </c>
      <c r="E116" s="5" t="inlineStr">
        <is>
          <t>Nguyễn Văn Hùng</t>
        </is>
      </c>
      <c r="F116" s="5" t="inlineStr">
        <is>
          <t>Tổ chức Hội nghị, Tập huấn &amp; Đào tạo</t>
        </is>
      </c>
      <c r="G116" s="10" t="inlineStr">
        <is>
          <t>Khẩn cấp (Cao)</t>
        </is>
      </c>
      <c r="H116" s="5" t="inlineStr">
        <is>
          <t>Bán tự động (Excel + Biểu mẫu)</t>
        </is>
      </c>
      <c r="I116" s="12" t="n">
        <v>162</v>
      </c>
      <c r="J116" s="12" t="n">
        <v>121</v>
      </c>
      <c r="K116" s="13">
        <f>J116/I116</f>
        <v/>
      </c>
      <c r="L116" s="12" t="n">
        <v>44000000</v>
      </c>
      <c r="M116" s="12" t="n">
        <v>31900000</v>
      </c>
      <c r="N116" s="13">
        <f>M116/L116</f>
        <v/>
      </c>
      <c r="O116" s="12">
        <f>L116-M116</f>
        <v/>
      </c>
      <c r="P116" s="12" t="n">
        <v>455</v>
      </c>
      <c r="Q116" s="10" t="inlineStr">
        <is>
          <t>Hoàn thành</t>
        </is>
      </c>
      <c r="R116" s="10">
        <f>IF(OR(K116&lt;0.75, N116&gt;1.0, Q116="Quá hạn xử lý"), "Rủi ro Cao (Cần xử lý)", IF(K116&lt;0.88, "Rủi ro Trung bình", "An toàn / Tốt"))</f>
        <v/>
      </c>
    </row>
    <row r="117">
      <c r="A117" s="14" t="inlineStr">
        <is>
          <t>NV-114</t>
        </is>
      </c>
      <c r="B117" s="15" t="n">
        <v>46154</v>
      </c>
      <c r="C117" s="14" t="inlineStr">
        <is>
          <t>Tháng 05/2026</t>
        </is>
      </c>
      <c r="D117" s="16" t="inlineStr">
        <is>
          <t>Trung tâm Công nghệ &amp; Chuyển đổi số</t>
        </is>
      </c>
      <c r="E117" s="16" t="inlineStr">
        <is>
          <t>Hoàng Tuấn Anh</t>
        </is>
      </c>
      <c r="F117" s="16" t="inlineStr">
        <is>
          <t>Triển khai Hạ tầng &amp; Phần mềm AI nội bộ</t>
        </is>
      </c>
      <c r="G117" s="14" t="inlineStr">
        <is>
          <t>Định kỳ (Thấp)</t>
        </is>
      </c>
      <c r="H117" s="16" t="inlineStr">
        <is>
          <t>Tự động hóa bằng AI Agent</t>
        </is>
      </c>
      <c r="I117" s="17" t="n">
        <v>70</v>
      </c>
      <c r="J117" s="17" t="n">
        <v>70</v>
      </c>
      <c r="K117" s="18">
        <f>J117/I117</f>
        <v/>
      </c>
      <c r="L117" s="17" t="n">
        <v>430000000</v>
      </c>
      <c r="M117" s="17" t="n">
        <v>326700000</v>
      </c>
      <c r="N117" s="18">
        <f>M117/L117</f>
        <v/>
      </c>
      <c r="O117" s="17">
        <f>L117-M117</f>
        <v/>
      </c>
      <c r="P117" s="17" t="n">
        <v>63</v>
      </c>
      <c r="Q117" s="14" t="inlineStr">
        <is>
          <t>Hoàn thành</t>
        </is>
      </c>
      <c r="R117" s="14">
        <f>IF(OR(K117&lt;0.75, N117&gt;1.0, Q117="Quá hạn xử lý"), "Rủi ro Cao (Cần xử lý)", IF(K117&lt;0.88, "Rủi ro Trung bình", "An toàn / Tốt"))</f>
        <v/>
      </c>
    </row>
    <row r="118">
      <c r="A118" s="10" t="inlineStr">
        <is>
          <t>NV-115</t>
        </is>
      </c>
      <c r="B118" s="11" t="n">
        <v>46080</v>
      </c>
      <c r="C118" s="10" t="inlineStr">
        <is>
          <t>Tháng 02/2026</t>
        </is>
      </c>
      <c r="D118" s="5" t="inlineStr">
        <is>
          <t>Văn phòng &amp; Hành chính Tổng hợp</t>
        </is>
      </c>
      <c r="E118" s="5" t="inlineStr">
        <is>
          <t>Nguyễn Văn Hùng</t>
        </is>
      </c>
      <c r="F118" s="5" t="inlineStr">
        <is>
          <t>Soạn thảo &amp; Ban hành Văn bản điều hành</t>
        </is>
      </c>
      <c r="G118" s="10" t="inlineStr">
        <is>
          <t>Khẩn cấp (Cao)</t>
        </is>
      </c>
      <c r="H118" s="5" t="inlineStr">
        <is>
          <t>Phần mềm Quản lý (E-Office)</t>
        </is>
      </c>
      <c r="I118" s="12" t="n">
        <v>138</v>
      </c>
      <c r="J118" s="12" t="n">
        <v>117</v>
      </c>
      <c r="K118" s="13">
        <f>J118/I118</f>
        <v/>
      </c>
      <c r="L118" s="12" t="n">
        <v>85000000</v>
      </c>
      <c r="M118" s="12" t="n">
        <v>65700000</v>
      </c>
      <c r="N118" s="13">
        <f>M118/L118</f>
        <v/>
      </c>
      <c r="O118" s="12">
        <f>L118-M118</f>
        <v/>
      </c>
      <c r="P118" s="12" t="n">
        <v>275</v>
      </c>
      <c r="Q118" s="10" t="inlineStr">
        <is>
          <t>Hoàn thành</t>
        </is>
      </c>
      <c r="R118" s="10">
        <f>IF(OR(K118&lt;0.75, N118&gt;1.0, Q118="Quá hạn xử lý"), "Rủi ro Cao (Cần xử lý)", IF(K118&lt;0.88, "Rủi ro Trung bình", "An toàn / Tốt"))</f>
        <v/>
      </c>
    </row>
    <row r="119">
      <c r="A119" s="14" t="inlineStr">
        <is>
          <t>NV-116</t>
        </is>
      </c>
      <c r="B119" s="15" t="n">
        <v>46164</v>
      </c>
      <c r="C119" s="14" t="inlineStr">
        <is>
          <t>Tháng 05/2026</t>
        </is>
      </c>
      <c r="D119" s="16" t="inlineStr">
        <is>
          <t>Trung tâm Công nghệ &amp; Chuyển đổi số</t>
        </is>
      </c>
      <c r="E119" s="16" t="inlineStr">
        <is>
          <t>Ngô Phương Linh</t>
        </is>
      </c>
      <c r="F119" s="16" t="inlineStr">
        <is>
          <t>Thẩm định Hồ sơ đấu thầu &amp; Mua sắm</t>
        </is>
      </c>
      <c r="G119" s="14" t="inlineStr">
        <is>
          <t>Quan trọng (Trung bình)</t>
        </is>
      </c>
      <c r="H119" s="16" t="inlineStr">
        <is>
          <t>Bán tự động (Excel + Biểu mẫu)</t>
        </is>
      </c>
      <c r="I119" s="17" t="n">
        <v>36</v>
      </c>
      <c r="J119" s="17" t="n">
        <v>27</v>
      </c>
      <c r="K119" s="18">
        <f>J119/I119</f>
        <v/>
      </c>
      <c r="L119" s="17" t="n">
        <v>567500000</v>
      </c>
      <c r="M119" s="17" t="n">
        <v>515900000</v>
      </c>
      <c r="N119" s="18">
        <f>M119/L119</f>
        <v/>
      </c>
      <c r="O119" s="17">
        <f>L119-M119</f>
        <v/>
      </c>
      <c r="P119" s="17" t="n">
        <v>73</v>
      </c>
      <c r="Q119" s="14" t="inlineStr">
        <is>
          <t>Hoàn thành</t>
        </is>
      </c>
      <c r="R119" s="14">
        <f>IF(OR(K119&lt;0.75, N119&gt;1.0, Q119="Quá hạn xử lý"), "Rủi ro Cao (Cần xử lý)", IF(K119&lt;0.88, "Rủi ro Trung bình", "An toàn / Tốt"))</f>
        <v/>
      </c>
    </row>
    <row r="120">
      <c r="A120" s="10" t="inlineStr">
        <is>
          <t>NV-117</t>
        </is>
      </c>
      <c r="B120" s="11" t="n">
        <v>46044</v>
      </c>
      <c r="C120" s="10" t="inlineStr">
        <is>
          <t>Tháng 01/2026</t>
        </is>
      </c>
      <c r="D120" s="5" t="inlineStr">
        <is>
          <t>Phòng Kế hoạch - Tài chính</t>
        </is>
      </c>
      <c r="E120" s="5" t="inlineStr">
        <is>
          <t>Đặng Quốc Khánh</t>
        </is>
      </c>
      <c r="F120" s="5" t="inlineStr">
        <is>
          <t>Thanh quyết toán &amp; Giải ngân Dự án</t>
        </is>
      </c>
      <c r="G120" s="10" t="inlineStr">
        <is>
          <t>Quan trọng (Trung bình)</t>
        </is>
      </c>
      <c r="H120" s="5" t="inlineStr">
        <is>
          <t>Tự động hóa bằng AI Agent</t>
        </is>
      </c>
      <c r="I120" s="12" t="n">
        <v>69</v>
      </c>
      <c r="J120" s="12" t="n">
        <v>62</v>
      </c>
      <c r="K120" s="13">
        <f>J120/I120</f>
        <v/>
      </c>
      <c r="L120" s="12" t="n">
        <v>350000000</v>
      </c>
      <c r="M120" s="12" t="n">
        <v>365500000</v>
      </c>
      <c r="N120" s="13">
        <f>M120/L120</f>
        <v/>
      </c>
      <c r="O120" s="12">
        <f>L120-M120</f>
        <v/>
      </c>
      <c r="P120" s="12" t="n">
        <v>100</v>
      </c>
      <c r="Q120" s="10" t="inlineStr">
        <is>
          <t>Quá hạn xử lý</t>
        </is>
      </c>
      <c r="R120" s="10">
        <f>IF(OR(K120&lt;0.75, N120&gt;1.0, Q120="Quá hạn xử lý"), "Rủi ro Cao (Cần xử lý)", IF(K120&lt;0.88, "Rủi ro Trung bình", "An toàn / Tốt"))</f>
        <v/>
      </c>
    </row>
    <row r="121">
      <c r="A121" s="14" t="inlineStr">
        <is>
          <t>NV-118</t>
        </is>
      </c>
      <c r="B121" s="15" t="n">
        <v>46086</v>
      </c>
      <c r="C121" s="14" t="inlineStr">
        <is>
          <t>Tháng 03/2026</t>
        </is>
      </c>
      <c r="D121" s="16" t="inlineStr">
        <is>
          <t>Phòng Kế hoạch - Tài chính</t>
        </is>
      </c>
      <c r="E121" s="16" t="inlineStr">
        <is>
          <t>Đặng Quốc Khánh</t>
        </is>
      </c>
      <c r="F121" s="16" t="inlineStr">
        <is>
          <t>Thẩm định Hồ sơ đấu thầu &amp; Mua sắm</t>
        </is>
      </c>
      <c r="G121" s="14" t="inlineStr">
        <is>
          <t>Khẩn cấp (Cao)</t>
        </is>
      </c>
      <c r="H121" s="16" t="inlineStr">
        <is>
          <t>Tự động hóa bằng AI Agent</t>
        </is>
      </c>
      <c r="I121" s="17" t="n">
        <v>150</v>
      </c>
      <c r="J121" s="17" t="n">
        <v>130</v>
      </c>
      <c r="K121" s="18">
        <f>J121/I121</f>
        <v/>
      </c>
      <c r="L121" s="17" t="n">
        <v>175000000</v>
      </c>
      <c r="M121" s="17" t="n">
        <v>174500000</v>
      </c>
      <c r="N121" s="18">
        <f>M121/L121</f>
        <v/>
      </c>
      <c r="O121" s="17">
        <f>L121-M121</f>
        <v/>
      </c>
      <c r="P121" s="17" t="n">
        <v>201</v>
      </c>
      <c r="Q121" s="14" t="inlineStr">
        <is>
          <t>Hoàn thành</t>
        </is>
      </c>
      <c r="R121" s="14">
        <f>IF(OR(K121&lt;0.75, N121&gt;1.0, Q121="Quá hạn xử lý"), "Rủi ro Cao (Cần xử lý)", IF(K121&lt;0.88, "Rủi ro Trung bình", "An toàn / Tốt"))</f>
        <v/>
      </c>
    </row>
    <row r="122">
      <c r="A122" s="10" t="inlineStr">
        <is>
          <t>NV-119</t>
        </is>
      </c>
      <c r="B122" s="11" t="n">
        <v>46201</v>
      </c>
      <c r="C122" s="10" t="inlineStr">
        <is>
          <t>Tháng 06/2026</t>
        </is>
      </c>
      <c r="D122" s="5" t="inlineStr">
        <is>
          <t>Văn phòng &amp; Hành chính Tổng hợp</t>
        </is>
      </c>
      <c r="E122" s="5" t="inlineStr">
        <is>
          <t>Nguyễn Văn Hùng</t>
        </is>
      </c>
      <c r="F122" s="5" t="inlineStr">
        <is>
          <t>Soạn thảo &amp; Ban hành Văn bản điều hành</t>
        </is>
      </c>
      <c r="G122" s="10" t="inlineStr">
        <is>
          <t>Định kỳ (Thấp)</t>
        </is>
      </c>
      <c r="H122" s="5" t="inlineStr">
        <is>
          <t>Tự động hóa bằng AI Agent</t>
        </is>
      </c>
      <c r="I122" s="12" t="n">
        <v>208</v>
      </c>
      <c r="J122" s="12" t="n">
        <v>189</v>
      </c>
      <c r="K122" s="13">
        <f>J122/I122</f>
        <v/>
      </c>
      <c r="L122" s="12" t="n">
        <v>70000000</v>
      </c>
      <c r="M122" s="12" t="n">
        <v>69000000</v>
      </c>
      <c r="N122" s="13">
        <f>M122/L122</f>
        <v/>
      </c>
      <c r="O122" s="12">
        <f>L122-M122</f>
        <v/>
      </c>
      <c r="P122" s="12" t="n">
        <v>215</v>
      </c>
      <c r="Q122" s="10" t="inlineStr">
        <is>
          <t>Hoàn thành</t>
        </is>
      </c>
      <c r="R122" s="10">
        <f>IF(OR(K122&lt;0.75, N122&gt;1.0, Q122="Quá hạn xử lý"), "Rủi ro Cao (Cần xử lý)", IF(K122&lt;0.88, "Rủi ro Trung bình", "An toàn / Tốt"))</f>
        <v/>
      </c>
    </row>
    <row r="123">
      <c r="A123" s="14" t="inlineStr">
        <is>
          <t>NV-120</t>
        </is>
      </c>
      <c r="B123" s="15" t="n">
        <v>46023</v>
      </c>
      <c r="C123" s="14" t="inlineStr">
        <is>
          <t>Tháng 01/2026</t>
        </is>
      </c>
      <c r="D123" s="16" t="inlineStr">
        <is>
          <t>Phòng Tổ chức - Nhân sự &amp; Đào tạo</t>
        </is>
      </c>
      <c r="E123" s="16" t="inlineStr">
        <is>
          <t>Lý Minh Khôi</t>
        </is>
      </c>
      <c r="F123" s="16" t="inlineStr">
        <is>
          <t>Soạn thảo &amp; Ban hành Văn bản điều hành</t>
        </is>
      </c>
      <c r="G123" s="14" t="inlineStr">
        <is>
          <t>Quan trọng (Trung bình)</t>
        </is>
      </c>
      <c r="H123" s="16" t="inlineStr">
        <is>
          <t>Bán tự động (Excel + Biểu mẫu)</t>
        </is>
      </c>
      <c r="I123" s="17" t="n">
        <v>70</v>
      </c>
      <c r="J123" s="17" t="n">
        <v>54</v>
      </c>
      <c r="K123" s="18">
        <f>J123/I123</f>
        <v/>
      </c>
      <c r="L123" s="17" t="n">
        <v>89000000</v>
      </c>
      <c r="M123" s="17" t="n">
        <v>96000000</v>
      </c>
      <c r="N123" s="18">
        <f>M123/L123</f>
        <v/>
      </c>
      <c r="O123" s="17">
        <f>L123-M123</f>
        <v/>
      </c>
      <c r="P123" s="17" t="n">
        <v>178</v>
      </c>
      <c r="Q123" s="14" t="inlineStr">
        <is>
          <t>Quá hạn xử lý</t>
        </is>
      </c>
      <c r="R123" s="14">
        <f>IF(OR(K123&lt;0.75, N123&gt;1.0, Q123="Quá hạn xử lý"), "Rủi ro Cao (Cần xử lý)", IF(K123&lt;0.88, "Rủi ro Trung bình", "An toàn / Tốt"))</f>
        <v/>
      </c>
    </row>
    <row r="124">
      <c r="A124" s="10" t="inlineStr">
        <is>
          <t>NV-121</t>
        </is>
      </c>
      <c r="B124" s="11" t="n">
        <v>46175</v>
      </c>
      <c r="C124" s="10" t="inlineStr">
        <is>
          <t>Tháng 06/2026</t>
        </is>
      </c>
      <c r="D124" s="5" t="inlineStr">
        <is>
          <t>Trung tâm Công nghệ &amp; Chuyển đổi số</t>
        </is>
      </c>
      <c r="E124" s="5" t="inlineStr">
        <is>
          <t>Ngô Phương Linh</t>
        </is>
      </c>
      <c r="F124" s="5" t="inlineStr">
        <is>
          <t>Thẩm định Hồ sơ đấu thầu &amp; Mua sắm</t>
        </is>
      </c>
      <c r="G124" s="10" t="inlineStr">
        <is>
          <t>Khẩn cấp (Cao)</t>
        </is>
      </c>
      <c r="H124" s="5" t="inlineStr">
        <is>
          <t>Bán tự động (Excel + Biểu mẫu)</t>
        </is>
      </c>
      <c r="I124" s="12" t="n">
        <v>31</v>
      </c>
      <c r="J124" s="12" t="n">
        <v>21</v>
      </c>
      <c r="K124" s="13">
        <f>J124/I124</f>
        <v/>
      </c>
      <c r="L124" s="12" t="n">
        <v>339000000</v>
      </c>
      <c r="M124" s="12" t="n">
        <v>337200000</v>
      </c>
      <c r="N124" s="13">
        <f>M124/L124</f>
        <v/>
      </c>
      <c r="O124" s="12">
        <f>L124-M124</f>
        <v/>
      </c>
      <c r="P124" s="12" t="n">
        <v>45</v>
      </c>
      <c r="Q124" s="10" t="inlineStr">
        <is>
          <t>Đang thực hiện</t>
        </is>
      </c>
      <c r="R124" s="10">
        <f>IF(OR(K124&lt;0.75, N124&gt;1.0, Q124="Quá hạn xử lý"), "Rủi ro Cao (Cần xử lý)", IF(K124&lt;0.88, "Rủi ro Trung bình", "An toàn / Tốt"))</f>
        <v/>
      </c>
    </row>
    <row r="125">
      <c r="A125" s="14" t="inlineStr">
        <is>
          <t>NV-122</t>
        </is>
      </c>
      <c r="B125" s="15" t="n">
        <v>46143</v>
      </c>
      <c r="C125" s="14" t="inlineStr">
        <is>
          <t>Tháng 05/2026</t>
        </is>
      </c>
      <c r="D125" s="16" t="inlineStr">
        <is>
          <t>Phòng Kế hoạch - Tài chính</t>
        </is>
      </c>
      <c r="E125" s="16" t="inlineStr">
        <is>
          <t>Phạm Minh Đức</t>
        </is>
      </c>
      <c r="F125" s="16" t="inlineStr">
        <is>
          <t>Thanh quyết toán &amp; Giải ngân Dự án</t>
        </is>
      </c>
      <c r="G125" s="14" t="inlineStr">
        <is>
          <t>Định kỳ (Thấp)</t>
        </is>
      </c>
      <c r="H125" s="16" t="inlineStr">
        <is>
          <t>Phần mềm Quản lý (E-Office)</t>
        </is>
      </c>
      <c r="I125" s="17" t="n">
        <v>76</v>
      </c>
      <c r="J125" s="17" t="n">
        <v>63</v>
      </c>
      <c r="K125" s="18">
        <f>J125/I125</f>
        <v/>
      </c>
      <c r="L125" s="17" t="n">
        <v>208000000</v>
      </c>
      <c r="M125" s="17" t="n">
        <v>206400000</v>
      </c>
      <c r="N125" s="18">
        <f>M125/L125</f>
        <v/>
      </c>
      <c r="O125" s="17">
        <f>L125-M125</f>
        <v/>
      </c>
      <c r="P125" s="17" t="n">
        <v>126</v>
      </c>
      <c r="Q125" s="14" t="inlineStr">
        <is>
          <t>Hoàn thành</t>
        </is>
      </c>
      <c r="R125" s="14">
        <f>IF(OR(K125&lt;0.75, N125&gt;1.0, Q125="Quá hạn xử lý"), "Rủi ro Cao (Cần xử lý)", IF(K125&lt;0.88, "Rủi ro Trung bình", "An toàn / Tốt"))</f>
        <v/>
      </c>
    </row>
    <row r="126">
      <c r="A126" s="10" t="inlineStr">
        <is>
          <t>NV-123</t>
        </is>
      </c>
      <c r="B126" s="11" t="n">
        <v>46134</v>
      </c>
      <c r="C126" s="10" t="inlineStr">
        <is>
          <t>Tháng 04/2026</t>
        </is>
      </c>
      <c r="D126" s="5" t="inlineStr">
        <is>
          <t>Ban Quản lý Dự án Đầu tư &amp; Hạ tầng</t>
        </is>
      </c>
      <c r="E126" s="5" t="inlineStr">
        <is>
          <t>Mai Anh Tuấn</t>
        </is>
      </c>
      <c r="F126" s="5" t="inlineStr">
        <is>
          <t>Thanh quyết toán &amp; Giải ngân Dự án</t>
        </is>
      </c>
      <c r="G126" s="10" t="inlineStr">
        <is>
          <t>Quan trọng (Trung bình)</t>
        </is>
      </c>
      <c r="H126" s="5" t="inlineStr">
        <is>
          <t>Xử lý Thủ công (Hồ sơ giấy)</t>
        </is>
      </c>
      <c r="I126" s="12" t="n">
        <v>30</v>
      </c>
      <c r="J126" s="12" t="n">
        <v>20</v>
      </c>
      <c r="K126" s="13">
        <f>J126/I126</f>
        <v/>
      </c>
      <c r="L126" s="12" t="n">
        <v>200000000</v>
      </c>
      <c r="M126" s="12" t="n">
        <v>200300000</v>
      </c>
      <c r="N126" s="13">
        <f>M126/L126</f>
        <v/>
      </c>
      <c r="O126" s="12">
        <f>L126-M126</f>
        <v/>
      </c>
      <c r="P126" s="12" t="n">
        <v>71</v>
      </c>
      <c r="Q126" s="10" t="inlineStr">
        <is>
          <t>Quá hạn xử lý</t>
        </is>
      </c>
      <c r="R126" s="10">
        <f>IF(OR(K126&lt;0.75, N126&gt;1.0, Q126="Quá hạn xử lý"), "Rủi ro Cao (Cần xử lý)", IF(K126&lt;0.88, "Rủi ro Trung bình", "An toàn / Tốt"))</f>
        <v/>
      </c>
    </row>
    <row r="127">
      <c r="A127" s="14" t="inlineStr">
        <is>
          <t>NV-124</t>
        </is>
      </c>
      <c r="B127" s="15" t="n">
        <v>46089</v>
      </c>
      <c r="C127" s="14" t="inlineStr">
        <is>
          <t>Tháng 03/2026</t>
        </is>
      </c>
      <c r="D127" s="16" t="inlineStr">
        <is>
          <t>Phòng Pháp chế &amp; Kiểm soát nội bộ</t>
        </is>
      </c>
      <c r="E127" s="16" t="inlineStr">
        <is>
          <t>Phan Thanh Thảo</t>
        </is>
      </c>
      <c r="F127" s="16" t="inlineStr">
        <is>
          <t>Tổ chức Hội nghị, Tập huấn &amp; Đào tạo</t>
        </is>
      </c>
      <c r="G127" s="14" t="inlineStr">
        <is>
          <t>Quan trọng (Trung bình)</t>
        </is>
      </c>
      <c r="H127" s="16" t="inlineStr">
        <is>
          <t>Tự động hóa bằng AI Agent</t>
        </is>
      </c>
      <c r="I127" s="17" t="n">
        <v>111</v>
      </c>
      <c r="J127" s="17" t="n">
        <v>99</v>
      </c>
      <c r="K127" s="18">
        <f>J127/I127</f>
        <v/>
      </c>
      <c r="L127" s="17" t="n">
        <v>70500000</v>
      </c>
      <c r="M127" s="17" t="n">
        <v>60400000</v>
      </c>
      <c r="N127" s="18">
        <f>M127/L127</f>
        <v/>
      </c>
      <c r="O127" s="17">
        <f>L127-M127</f>
        <v/>
      </c>
      <c r="P127" s="17" t="n">
        <v>135</v>
      </c>
      <c r="Q127" s="14" t="inlineStr">
        <is>
          <t>Tạm dừng chờ duyệt</t>
        </is>
      </c>
      <c r="R127" s="14">
        <f>IF(OR(K127&lt;0.75, N127&gt;1.0, Q127="Quá hạn xử lý"), "Rủi ro Cao (Cần xử lý)", IF(K127&lt;0.88, "Rủi ro Trung bình", "An toàn / Tốt"))</f>
        <v/>
      </c>
    </row>
    <row r="128">
      <c r="A128" s="10" t="inlineStr">
        <is>
          <t>NV-125</t>
        </is>
      </c>
      <c r="B128" s="11" t="n">
        <v>46106</v>
      </c>
      <c r="C128" s="10" t="inlineStr">
        <is>
          <t>Tháng 03/2026</t>
        </is>
      </c>
      <c r="D128" s="5" t="inlineStr">
        <is>
          <t>Văn phòng &amp; Hành chính Tổng hợp</t>
        </is>
      </c>
      <c r="E128" s="5" t="inlineStr">
        <is>
          <t>Nguyễn Văn Hùng</t>
        </is>
      </c>
      <c r="F128" s="5" t="inlineStr">
        <is>
          <t>Soạn thảo &amp; Ban hành Văn bản điều hành</t>
        </is>
      </c>
      <c r="G128" s="10" t="inlineStr">
        <is>
          <t>Khẩn cấp (Cao)</t>
        </is>
      </c>
      <c r="H128" s="5" t="inlineStr">
        <is>
          <t>Bán tự động (Excel + Biểu mẫu)</t>
        </is>
      </c>
      <c r="I128" s="12" t="n">
        <v>80</v>
      </c>
      <c r="J128" s="12" t="n">
        <v>54</v>
      </c>
      <c r="K128" s="13">
        <f>J128/I128</f>
        <v/>
      </c>
      <c r="L128" s="12" t="n">
        <v>106500000</v>
      </c>
      <c r="M128" s="12" t="n">
        <v>100400000</v>
      </c>
      <c r="N128" s="13">
        <f>M128/L128</f>
        <v/>
      </c>
      <c r="O128" s="12">
        <f>L128-M128</f>
        <v/>
      </c>
      <c r="P128" s="12" t="n">
        <v>215</v>
      </c>
      <c r="Q128" s="10" t="inlineStr">
        <is>
          <t>Quá hạn xử lý</t>
        </is>
      </c>
      <c r="R128" s="10">
        <f>IF(OR(K128&lt;0.75, N128&gt;1.0, Q128="Quá hạn xử lý"), "Rủi ro Cao (Cần xử lý)", IF(K128&lt;0.88, "Rủi ro Trung bình", "An toàn / Tốt"))</f>
        <v/>
      </c>
    </row>
    <row r="129">
      <c r="A129" s="14" t="inlineStr">
        <is>
          <t>NV-126</t>
        </is>
      </c>
      <c r="B129" s="15" t="n">
        <v>46154</v>
      </c>
      <c r="C129" s="14" t="inlineStr">
        <is>
          <t>Tháng 05/2026</t>
        </is>
      </c>
      <c r="D129" s="16" t="inlineStr">
        <is>
          <t>Ban Quản lý Dự án Đầu tư &amp; Hạ tầng</t>
        </is>
      </c>
      <c r="E129" s="16" t="inlineStr">
        <is>
          <t>Đinh Quốc Huy</t>
        </is>
      </c>
      <c r="F129" s="16" t="inlineStr">
        <is>
          <t>Thanh quyết toán &amp; Giải ngân Dự án</t>
        </is>
      </c>
      <c r="G129" s="14" t="inlineStr">
        <is>
          <t>Quan trọng (Trung bình)</t>
        </is>
      </c>
      <c r="H129" s="16" t="inlineStr">
        <is>
          <t>Phần mềm Quản lý (E-Office)</t>
        </is>
      </c>
      <c r="I129" s="17" t="n">
        <v>73</v>
      </c>
      <c r="J129" s="17" t="n">
        <v>59</v>
      </c>
      <c r="K129" s="18">
        <f>J129/I129</f>
        <v/>
      </c>
      <c r="L129" s="17" t="n">
        <v>641500000</v>
      </c>
      <c r="M129" s="17" t="n">
        <v>544700000</v>
      </c>
      <c r="N129" s="18">
        <f>M129/L129</f>
        <v/>
      </c>
      <c r="O129" s="17">
        <f>L129-M129</f>
        <v/>
      </c>
      <c r="P129" s="17" t="n">
        <v>115</v>
      </c>
      <c r="Q129" s="14" t="inlineStr">
        <is>
          <t>Hoàn thành</t>
        </is>
      </c>
      <c r="R129" s="14">
        <f>IF(OR(K129&lt;0.75, N129&gt;1.0, Q129="Quá hạn xử lý"), "Rủi ro Cao (Cần xử lý)", IF(K129&lt;0.88, "Rủi ro Trung bình", "An toàn / Tốt"))</f>
        <v/>
      </c>
    </row>
    <row r="130">
      <c r="A130" s="10" t="inlineStr">
        <is>
          <t>NV-127</t>
        </is>
      </c>
      <c r="B130" s="11" t="n">
        <v>46159</v>
      </c>
      <c r="C130" s="10" t="inlineStr">
        <is>
          <t>Tháng 05/2026</t>
        </is>
      </c>
      <c r="D130" s="5" t="inlineStr">
        <is>
          <t>Phòng Tổ chức - Nhân sự &amp; Đào tạo</t>
        </is>
      </c>
      <c r="E130" s="5" t="inlineStr">
        <is>
          <t>Đỗ Thị Thu Hà</t>
        </is>
      </c>
      <c r="F130" s="5" t="inlineStr">
        <is>
          <t>Kiểm tra, Rà soát Pháp lý &amp; Tuân thủ</t>
        </is>
      </c>
      <c r="G130" s="10" t="inlineStr">
        <is>
          <t>Định kỳ (Thấp)</t>
        </is>
      </c>
      <c r="H130" s="5" t="inlineStr">
        <is>
          <t>Xử lý Thủ công (Hồ sơ giấy)</t>
        </is>
      </c>
      <c r="I130" s="12" t="n">
        <v>43</v>
      </c>
      <c r="J130" s="12" t="n">
        <v>30</v>
      </c>
      <c r="K130" s="13">
        <f>J130/I130</f>
        <v/>
      </c>
      <c r="L130" s="12" t="n">
        <v>107500000</v>
      </c>
      <c r="M130" s="12" t="n">
        <v>110100000</v>
      </c>
      <c r="N130" s="13">
        <f>M130/L130</f>
        <v/>
      </c>
      <c r="O130" s="12">
        <f>L130-M130</f>
        <v/>
      </c>
      <c r="P130" s="12" t="n">
        <v>90</v>
      </c>
      <c r="Q130" s="10" t="inlineStr">
        <is>
          <t>Quá hạn xử lý</t>
        </is>
      </c>
      <c r="R130" s="10">
        <f>IF(OR(K130&lt;0.75, N130&gt;1.0, Q130="Quá hạn xử lý"), "Rủi ro Cao (Cần xử lý)", IF(K130&lt;0.88, "Rủi ro Trung bình", "An toàn / Tốt"))</f>
        <v/>
      </c>
    </row>
    <row r="131">
      <c r="A131" s="14" t="inlineStr">
        <is>
          <t>NV-128</t>
        </is>
      </c>
      <c r="B131" s="15" t="n">
        <v>46152</v>
      </c>
      <c r="C131" s="14" t="inlineStr">
        <is>
          <t>Tháng 05/2026</t>
        </is>
      </c>
      <c r="D131" s="16" t="inlineStr">
        <is>
          <t>Phòng Pháp chế &amp; Kiểm soát nội bộ</t>
        </is>
      </c>
      <c r="E131" s="16" t="inlineStr">
        <is>
          <t>Trương Quang Vinh</t>
        </is>
      </c>
      <c r="F131" s="16" t="inlineStr">
        <is>
          <t>Kiểm tra, Rà soát Pháp lý &amp; Tuân thủ</t>
        </is>
      </c>
      <c r="G131" s="14" t="inlineStr">
        <is>
          <t>Khẩn cấp (Cao)</t>
        </is>
      </c>
      <c r="H131" s="16" t="inlineStr">
        <is>
          <t>Bán tự động (Excel + Biểu mẫu)</t>
        </is>
      </c>
      <c r="I131" s="17" t="n">
        <v>20</v>
      </c>
      <c r="J131" s="17" t="n">
        <v>15</v>
      </c>
      <c r="K131" s="18">
        <f>J131/I131</f>
        <v/>
      </c>
      <c r="L131" s="17" t="n">
        <v>42500000</v>
      </c>
      <c r="M131" s="17" t="n">
        <v>36300000</v>
      </c>
      <c r="N131" s="18">
        <f>M131/L131</f>
        <v/>
      </c>
      <c r="O131" s="17">
        <f>L131-M131</f>
        <v/>
      </c>
      <c r="P131" s="17" t="n">
        <v>28</v>
      </c>
      <c r="Q131" s="14" t="inlineStr">
        <is>
          <t>Hoàn thành</t>
        </is>
      </c>
      <c r="R131" s="14">
        <f>IF(OR(K131&lt;0.75, N131&gt;1.0, Q131="Quá hạn xử lý"), "Rủi ro Cao (Cần xử lý)", IF(K131&lt;0.88, "Rủi ro Trung bình", "An toàn / Tốt"))</f>
        <v/>
      </c>
    </row>
    <row r="132">
      <c r="A132" s="10" t="inlineStr">
        <is>
          <t>NV-129</t>
        </is>
      </c>
      <c r="B132" s="11" t="n">
        <v>46095</v>
      </c>
      <c r="C132" s="10" t="inlineStr">
        <is>
          <t>Tháng 03/2026</t>
        </is>
      </c>
      <c r="D132" s="5" t="inlineStr">
        <is>
          <t>Phòng Tổ chức - Nhân sự &amp; Đào tạo</t>
        </is>
      </c>
      <c r="E132" s="5" t="inlineStr">
        <is>
          <t>Lý Minh Khôi</t>
        </is>
      </c>
      <c r="F132" s="5" t="inlineStr">
        <is>
          <t>Kiểm tra, Rà soát Pháp lý &amp; Tuân thủ</t>
        </is>
      </c>
      <c r="G132" s="10" t="inlineStr">
        <is>
          <t>Quan trọng (Trung bình)</t>
        </is>
      </c>
      <c r="H132" s="5" t="inlineStr">
        <is>
          <t>Phần mềm Quản lý (E-Office)</t>
        </is>
      </c>
      <c r="I132" s="12" t="n">
        <v>29</v>
      </c>
      <c r="J132" s="12" t="n">
        <v>23</v>
      </c>
      <c r="K132" s="13">
        <f>J132/I132</f>
        <v/>
      </c>
      <c r="L132" s="12" t="n">
        <v>76500000</v>
      </c>
      <c r="M132" s="12" t="n">
        <v>64100000</v>
      </c>
      <c r="N132" s="13">
        <f>M132/L132</f>
        <v/>
      </c>
      <c r="O132" s="12">
        <f>L132-M132</f>
        <v/>
      </c>
      <c r="P132" s="12" t="n">
        <v>59</v>
      </c>
      <c r="Q132" s="10" t="inlineStr">
        <is>
          <t>Đang thực hiện</t>
        </is>
      </c>
      <c r="R132" s="10">
        <f>IF(OR(K132&lt;0.75, N132&gt;1.0, Q132="Quá hạn xử lý"), "Rủi ro Cao (Cần xử lý)", IF(K132&lt;0.88, "Rủi ro Trung bình", "An toàn / Tốt"))</f>
        <v/>
      </c>
    </row>
    <row r="133">
      <c r="A133" s="14" t="inlineStr">
        <is>
          <t>NV-130</t>
        </is>
      </c>
      <c r="B133" s="15" t="n">
        <v>46185</v>
      </c>
      <c r="C133" s="14" t="inlineStr">
        <is>
          <t>Tháng 06/2026</t>
        </is>
      </c>
      <c r="D133" s="16" t="inlineStr">
        <is>
          <t>Phòng Pháp chế &amp; Kiểm soát nội bộ</t>
        </is>
      </c>
      <c r="E133" s="16" t="inlineStr">
        <is>
          <t>Trương Quang Vinh</t>
        </is>
      </c>
      <c r="F133" s="16" t="inlineStr">
        <is>
          <t>Thẩm định Hồ sơ đấu thầu &amp; Mua sắm</t>
        </is>
      </c>
      <c r="G133" s="14" t="inlineStr">
        <is>
          <t>Khẩn cấp (Cao)</t>
        </is>
      </c>
      <c r="H133" s="16" t="inlineStr">
        <is>
          <t>Phần mềm Quản lý (E-Office)</t>
        </is>
      </c>
      <c r="I133" s="17" t="n">
        <v>52</v>
      </c>
      <c r="J133" s="17" t="n">
        <v>46</v>
      </c>
      <c r="K133" s="18">
        <f>J133/I133</f>
        <v/>
      </c>
      <c r="L133" s="17" t="n">
        <v>152500000</v>
      </c>
      <c r="M133" s="17" t="n">
        <v>160700000</v>
      </c>
      <c r="N133" s="18">
        <f>M133/L133</f>
        <v/>
      </c>
      <c r="O133" s="17">
        <f>L133-M133</f>
        <v/>
      </c>
      <c r="P133" s="17" t="n">
        <v>76</v>
      </c>
      <c r="Q133" s="14" t="inlineStr">
        <is>
          <t>Đang thực hiện</t>
        </is>
      </c>
      <c r="R133" s="14">
        <f>IF(OR(K133&lt;0.75, N133&gt;1.0, Q133="Quá hạn xử lý"), "Rủi ro Cao (Cần xử lý)", IF(K133&lt;0.88, "Rủi ro Trung bình", "An toàn / Tốt"))</f>
        <v/>
      </c>
    </row>
    <row r="134">
      <c r="A134" s="10" t="inlineStr">
        <is>
          <t>NV-131</t>
        </is>
      </c>
      <c r="B134" s="11" t="n">
        <v>46185</v>
      </c>
      <c r="C134" s="10" t="inlineStr">
        <is>
          <t>Tháng 06/2026</t>
        </is>
      </c>
      <c r="D134" s="5" t="inlineStr">
        <is>
          <t>Văn phòng &amp; Hành chính Tổng hợp</t>
        </is>
      </c>
      <c r="E134" s="5" t="inlineStr">
        <is>
          <t>Trần Thị Mai</t>
        </is>
      </c>
      <c r="F134" s="5" t="inlineStr">
        <is>
          <t>Soạn thảo &amp; Ban hành Văn bản điều hành</t>
        </is>
      </c>
      <c r="G134" s="10" t="inlineStr">
        <is>
          <t>Định kỳ (Thấp)</t>
        </is>
      </c>
      <c r="H134" s="5" t="inlineStr">
        <is>
          <t>Phần mềm Quản lý (E-Office)</t>
        </is>
      </c>
      <c r="I134" s="12" t="n">
        <v>65</v>
      </c>
      <c r="J134" s="12" t="n">
        <v>58</v>
      </c>
      <c r="K134" s="13">
        <f>J134/I134</f>
        <v/>
      </c>
      <c r="L134" s="12" t="n">
        <v>44500000</v>
      </c>
      <c r="M134" s="12" t="n">
        <v>34800000</v>
      </c>
      <c r="N134" s="13">
        <f>M134/L134</f>
        <v/>
      </c>
      <c r="O134" s="12">
        <f>L134-M134</f>
        <v/>
      </c>
      <c r="P134" s="12" t="n">
        <v>83</v>
      </c>
      <c r="Q134" s="10" t="inlineStr">
        <is>
          <t>Tạm dừng chờ duyệt</t>
        </is>
      </c>
      <c r="R134" s="10">
        <f>IF(OR(K134&lt;0.75, N134&gt;1.0, Q134="Quá hạn xử lý"), "Rủi ro Cao (Cần xử lý)", IF(K134&lt;0.88, "Rủi ro Trung bình", "An toàn / Tốt"))</f>
        <v/>
      </c>
    </row>
    <row r="135">
      <c r="A135" s="14" t="inlineStr">
        <is>
          <t>NV-132</t>
        </is>
      </c>
      <c r="B135" s="15" t="n">
        <v>46180</v>
      </c>
      <c r="C135" s="14" t="inlineStr">
        <is>
          <t>Tháng 06/2026</t>
        </is>
      </c>
      <c r="D135" s="16" t="inlineStr">
        <is>
          <t>Ban Quản lý Dự án Đầu tư &amp; Hạ tầng</t>
        </is>
      </c>
      <c r="E135" s="16" t="inlineStr">
        <is>
          <t>Đinh Quốc Huy</t>
        </is>
      </c>
      <c r="F135" s="16" t="inlineStr">
        <is>
          <t>Thanh quyết toán &amp; Giải ngân Dự án</t>
        </is>
      </c>
      <c r="G135" s="14" t="inlineStr">
        <is>
          <t>Định kỳ (Thấp)</t>
        </is>
      </c>
      <c r="H135" s="16" t="inlineStr">
        <is>
          <t>Bán tự động (Excel + Biểu mẫu)</t>
        </is>
      </c>
      <c r="I135" s="17" t="n">
        <v>68</v>
      </c>
      <c r="J135" s="17" t="n">
        <v>48</v>
      </c>
      <c r="K135" s="18">
        <f>J135/I135</f>
        <v/>
      </c>
      <c r="L135" s="17" t="n">
        <v>618000000</v>
      </c>
      <c r="M135" s="17" t="n">
        <v>630000000</v>
      </c>
      <c r="N135" s="18">
        <f>M135/L135</f>
        <v/>
      </c>
      <c r="O135" s="17">
        <f>L135-M135</f>
        <v/>
      </c>
      <c r="P135" s="17" t="n">
        <v>160</v>
      </c>
      <c r="Q135" s="14" t="inlineStr">
        <is>
          <t>Đang thực hiện</t>
        </is>
      </c>
      <c r="R135" s="14">
        <f>IF(OR(K135&lt;0.75, N135&gt;1.0, Q135="Quá hạn xử lý"), "Rủi ro Cao (Cần xử lý)", IF(K135&lt;0.88, "Rủi ro Trung bình", "An toàn / Tốt"))</f>
        <v/>
      </c>
    </row>
    <row r="136">
      <c r="A136" s="10" t="inlineStr">
        <is>
          <t>NV-133</t>
        </is>
      </c>
      <c r="B136" s="11" t="n">
        <v>46067</v>
      </c>
      <c r="C136" s="10" t="inlineStr">
        <is>
          <t>Tháng 02/2026</t>
        </is>
      </c>
      <c r="D136" s="5" t="inlineStr">
        <is>
          <t>Phòng Kế hoạch - Tài chính</t>
        </is>
      </c>
      <c r="E136" s="5" t="inlineStr">
        <is>
          <t>Vũ Thị Lan</t>
        </is>
      </c>
      <c r="F136" s="5" t="inlineStr">
        <is>
          <t>Thanh quyết toán &amp; Giải ngân Dự án</t>
        </is>
      </c>
      <c r="G136" s="10" t="inlineStr">
        <is>
          <t>Quan trọng (Trung bình)</t>
        </is>
      </c>
      <c r="H136" s="5" t="inlineStr">
        <is>
          <t>Bán tự động (Excel + Biểu mẫu)</t>
        </is>
      </c>
      <c r="I136" s="12" t="n">
        <v>91</v>
      </c>
      <c r="J136" s="12" t="n">
        <v>76</v>
      </c>
      <c r="K136" s="13">
        <f>J136/I136</f>
        <v/>
      </c>
      <c r="L136" s="12" t="n">
        <v>226000000</v>
      </c>
      <c r="M136" s="12" t="n">
        <v>199700000</v>
      </c>
      <c r="N136" s="13">
        <f>M136/L136</f>
        <v/>
      </c>
      <c r="O136" s="12">
        <f>L136-M136</f>
        <v/>
      </c>
      <c r="P136" s="12" t="n">
        <v>225</v>
      </c>
      <c r="Q136" s="10" t="inlineStr">
        <is>
          <t>Hoàn thành</t>
        </is>
      </c>
      <c r="R136" s="10">
        <f>IF(OR(K136&lt;0.75, N136&gt;1.0, Q136="Quá hạn xử lý"), "Rủi ro Cao (Cần xử lý)", IF(K136&lt;0.88, "Rủi ro Trung bình", "An toàn / Tốt"))</f>
        <v/>
      </c>
    </row>
    <row r="137">
      <c r="A137" s="14" t="inlineStr">
        <is>
          <t>NV-134</t>
        </is>
      </c>
      <c r="B137" s="15" t="n">
        <v>46162</v>
      </c>
      <c r="C137" s="14" t="inlineStr">
        <is>
          <t>Tháng 05/2026</t>
        </is>
      </c>
      <c r="D137" s="16" t="inlineStr">
        <is>
          <t>Phòng Pháp chế &amp; Kiểm soát nội bộ</t>
        </is>
      </c>
      <c r="E137" s="16" t="inlineStr">
        <is>
          <t>Trương Quang Vinh</t>
        </is>
      </c>
      <c r="F137" s="16" t="inlineStr">
        <is>
          <t>Tổ chức Hội nghị, Tập huấn &amp; Đào tạo</t>
        </is>
      </c>
      <c r="G137" s="14" t="inlineStr">
        <is>
          <t>Quan trọng (Trung bình)</t>
        </is>
      </c>
      <c r="H137" s="16" t="inlineStr">
        <is>
          <t>Bán tự động (Excel + Biểu mẫu)</t>
        </is>
      </c>
      <c r="I137" s="17" t="n">
        <v>120</v>
      </c>
      <c r="J137" s="17" t="n">
        <v>84</v>
      </c>
      <c r="K137" s="18">
        <f>J137/I137</f>
        <v/>
      </c>
      <c r="L137" s="17" t="n">
        <v>146000000</v>
      </c>
      <c r="M137" s="17" t="n">
        <v>133800000</v>
      </c>
      <c r="N137" s="18">
        <f>M137/L137</f>
        <v/>
      </c>
      <c r="O137" s="17">
        <f>L137-M137</f>
        <v/>
      </c>
      <c r="P137" s="17" t="n">
        <v>204</v>
      </c>
      <c r="Q137" s="14" t="inlineStr">
        <is>
          <t>Đang thực hiện</t>
        </is>
      </c>
      <c r="R137" s="14">
        <f>IF(OR(K137&lt;0.75, N137&gt;1.0, Q137="Quá hạn xử lý"), "Rủi ro Cao (Cần xử lý)", IF(K137&lt;0.88, "Rủi ro Trung bình", "An toàn / Tốt"))</f>
        <v/>
      </c>
    </row>
    <row r="138">
      <c r="A138" s="10" t="inlineStr">
        <is>
          <t>NV-135</t>
        </is>
      </c>
      <c r="B138" s="11" t="n">
        <v>46195</v>
      </c>
      <c r="C138" s="10" t="inlineStr">
        <is>
          <t>Tháng 06/2026</t>
        </is>
      </c>
      <c r="D138" s="5" t="inlineStr">
        <is>
          <t>Phòng Pháp chế &amp; Kiểm soát nội bộ</t>
        </is>
      </c>
      <c r="E138" s="5" t="inlineStr">
        <is>
          <t>Phan Thanh Thảo</t>
        </is>
      </c>
      <c r="F138" s="5" t="inlineStr">
        <is>
          <t>Thẩm định Hồ sơ đấu thầu &amp; Mua sắm</t>
        </is>
      </c>
      <c r="G138" s="10" t="inlineStr">
        <is>
          <t>Khẩn cấp (Cao)</t>
        </is>
      </c>
      <c r="H138" s="5" t="inlineStr">
        <is>
          <t>Bán tự động (Excel + Biểu mẫu)</t>
        </is>
      </c>
      <c r="I138" s="12" t="n">
        <v>38</v>
      </c>
      <c r="J138" s="12" t="n">
        <v>32</v>
      </c>
      <c r="K138" s="13">
        <f>J138/I138</f>
        <v/>
      </c>
      <c r="L138" s="12" t="n">
        <v>46000000</v>
      </c>
      <c r="M138" s="12" t="n">
        <v>37400000</v>
      </c>
      <c r="N138" s="13">
        <f>M138/L138</f>
        <v/>
      </c>
      <c r="O138" s="12">
        <f>L138-M138</f>
        <v/>
      </c>
      <c r="P138" s="12" t="n">
        <v>75</v>
      </c>
      <c r="Q138" s="10" t="inlineStr">
        <is>
          <t>Hoàn thành</t>
        </is>
      </c>
      <c r="R138" s="10">
        <f>IF(OR(K138&lt;0.75, N138&gt;1.0, Q138="Quá hạn xử lý"), "Rủi ro Cao (Cần xử lý)", IF(K138&lt;0.88, "Rủi ro Trung bình", "An toàn / Tốt"))</f>
        <v/>
      </c>
    </row>
    <row r="139">
      <c r="A139" s="14" t="inlineStr">
        <is>
          <t>NV-136</t>
        </is>
      </c>
      <c r="B139" s="15" t="n">
        <v>46109</v>
      </c>
      <c r="C139" s="14" t="inlineStr">
        <is>
          <t>Tháng 03/2026</t>
        </is>
      </c>
      <c r="D139" s="16" t="inlineStr">
        <is>
          <t>Phòng Pháp chế &amp; Kiểm soát nội bộ</t>
        </is>
      </c>
      <c r="E139" s="16" t="inlineStr">
        <is>
          <t>Trương Quang Vinh</t>
        </is>
      </c>
      <c r="F139" s="16" t="inlineStr">
        <is>
          <t>Soạn thảo &amp; Ban hành Văn bản điều hành</t>
        </is>
      </c>
      <c r="G139" s="14" t="inlineStr">
        <is>
          <t>Định kỳ (Thấp)</t>
        </is>
      </c>
      <c r="H139" s="16" t="inlineStr">
        <is>
          <t>Xử lý Thủ công (Hồ sơ giấy)</t>
        </is>
      </c>
      <c r="I139" s="17" t="n">
        <v>112</v>
      </c>
      <c r="J139" s="17" t="n">
        <v>65</v>
      </c>
      <c r="K139" s="18">
        <f>J139/I139</f>
        <v/>
      </c>
      <c r="L139" s="17" t="n">
        <v>32500000</v>
      </c>
      <c r="M139" s="17" t="n">
        <v>23700000</v>
      </c>
      <c r="N139" s="18">
        <f>M139/L139</f>
        <v/>
      </c>
      <c r="O139" s="17">
        <f>L139-M139</f>
        <v/>
      </c>
      <c r="P139" s="17" t="n">
        <v>348</v>
      </c>
      <c r="Q139" s="14" t="inlineStr">
        <is>
          <t>Quá hạn xử lý</t>
        </is>
      </c>
      <c r="R139" s="14">
        <f>IF(OR(K139&lt;0.75, N139&gt;1.0, Q139="Quá hạn xử lý"), "Rủi ro Cao (Cần xử lý)", IF(K139&lt;0.88, "Rủi ro Trung bình", "An toàn / Tốt"))</f>
        <v/>
      </c>
    </row>
    <row r="140">
      <c r="A140" s="10" t="inlineStr">
        <is>
          <t>NV-137</t>
        </is>
      </c>
      <c r="B140" s="11" t="n">
        <v>46039</v>
      </c>
      <c r="C140" s="10" t="inlineStr">
        <is>
          <t>Tháng 01/2026</t>
        </is>
      </c>
      <c r="D140" s="5" t="inlineStr">
        <is>
          <t>Trung tâm Công nghệ &amp; Chuyển đổi số</t>
        </is>
      </c>
      <c r="E140" s="5" t="inlineStr">
        <is>
          <t>Ngô Phương Linh</t>
        </is>
      </c>
      <c r="F140" s="5" t="inlineStr">
        <is>
          <t>Thẩm định Hồ sơ đấu thầu &amp; Mua sắm</t>
        </is>
      </c>
      <c r="G140" s="10" t="inlineStr">
        <is>
          <t>Quan trọng (Trung bình)</t>
        </is>
      </c>
      <c r="H140" s="5" t="inlineStr">
        <is>
          <t>Tự động hóa bằng AI Agent</t>
        </is>
      </c>
      <c r="I140" s="12" t="n">
        <v>43</v>
      </c>
      <c r="J140" s="12" t="n">
        <v>40</v>
      </c>
      <c r="K140" s="13">
        <f>J140/I140</f>
        <v/>
      </c>
      <c r="L140" s="12" t="n">
        <v>627500000</v>
      </c>
      <c r="M140" s="12" t="n">
        <v>384800000</v>
      </c>
      <c r="N140" s="13">
        <f>M140/L140</f>
        <v/>
      </c>
      <c r="O140" s="12">
        <f>L140-M140</f>
        <v/>
      </c>
      <c r="P140" s="12" t="n">
        <v>75</v>
      </c>
      <c r="Q140" s="10" t="inlineStr">
        <is>
          <t>Hoàn thành</t>
        </is>
      </c>
      <c r="R140" s="10">
        <f>IF(OR(K140&lt;0.75, N140&gt;1.0, Q140="Quá hạn xử lý"), "Rủi ro Cao (Cần xử lý)", IF(K140&lt;0.88, "Rủi ro Trung bình", "An toàn / Tốt"))</f>
        <v/>
      </c>
    </row>
    <row r="141">
      <c r="A141" s="14" t="inlineStr">
        <is>
          <t>NV-138</t>
        </is>
      </c>
      <c r="B141" s="15" t="n">
        <v>46137</v>
      </c>
      <c r="C141" s="14" t="inlineStr">
        <is>
          <t>Tháng 04/2026</t>
        </is>
      </c>
      <c r="D141" s="16" t="inlineStr">
        <is>
          <t>Văn phòng &amp; Hành chính Tổng hợp</t>
        </is>
      </c>
      <c r="E141" s="16" t="inlineStr">
        <is>
          <t>Trần Thị Mai</t>
        </is>
      </c>
      <c r="F141" s="16" t="inlineStr">
        <is>
          <t>Soạn thảo &amp; Ban hành Văn bản điều hành</t>
        </is>
      </c>
      <c r="G141" s="14" t="inlineStr">
        <is>
          <t>Quan trọng (Trung bình)</t>
        </is>
      </c>
      <c r="H141" s="16" t="inlineStr">
        <is>
          <t>Phần mềm Quản lý (E-Office)</t>
        </is>
      </c>
      <c r="I141" s="17" t="n">
        <v>89</v>
      </c>
      <c r="J141" s="17" t="n">
        <v>82</v>
      </c>
      <c r="K141" s="18">
        <f>J141/I141</f>
        <v/>
      </c>
      <c r="L141" s="17" t="n">
        <v>29500000</v>
      </c>
      <c r="M141" s="17" t="n">
        <v>25100000</v>
      </c>
      <c r="N141" s="18">
        <f>M141/L141</f>
        <v/>
      </c>
      <c r="O141" s="17">
        <f>L141-M141</f>
        <v/>
      </c>
      <c r="P141" s="17" t="n">
        <v>142</v>
      </c>
      <c r="Q141" s="14" t="inlineStr">
        <is>
          <t>Hoàn thành</t>
        </is>
      </c>
      <c r="R141" s="14">
        <f>IF(OR(K141&lt;0.75, N141&gt;1.0, Q141="Quá hạn xử lý"), "Rủi ro Cao (Cần xử lý)", IF(K141&lt;0.88, "Rủi ro Trung bình", "An toàn / Tốt"))</f>
        <v/>
      </c>
    </row>
    <row r="142">
      <c r="A142" s="10" t="inlineStr">
        <is>
          <t>NV-139</t>
        </is>
      </c>
      <c r="B142" s="11" t="n">
        <v>46181</v>
      </c>
      <c r="C142" s="10" t="inlineStr">
        <is>
          <t>Tháng 06/2026</t>
        </is>
      </c>
      <c r="D142" s="5" t="inlineStr">
        <is>
          <t>Văn phòng &amp; Hành chính Tổng hợp</t>
        </is>
      </c>
      <c r="E142" s="5" t="inlineStr">
        <is>
          <t>Trần Thị Mai</t>
        </is>
      </c>
      <c r="F142" s="5" t="inlineStr">
        <is>
          <t>Soạn thảo &amp; Ban hành Văn bản điều hành</t>
        </is>
      </c>
      <c r="G142" s="10" t="inlineStr">
        <is>
          <t>Quan trọng (Trung bình)</t>
        </is>
      </c>
      <c r="H142" s="5" t="inlineStr">
        <is>
          <t>Phần mềm Quản lý (E-Office)</t>
        </is>
      </c>
      <c r="I142" s="12" t="n">
        <v>120</v>
      </c>
      <c r="J142" s="12" t="n">
        <v>98</v>
      </c>
      <c r="K142" s="13">
        <f>J142/I142</f>
        <v/>
      </c>
      <c r="L142" s="12" t="n">
        <v>34500000</v>
      </c>
      <c r="M142" s="12" t="n">
        <v>29600000</v>
      </c>
      <c r="N142" s="13">
        <f>M142/L142</f>
        <v/>
      </c>
      <c r="O142" s="12">
        <f>L142-M142</f>
        <v/>
      </c>
      <c r="P142" s="12" t="n">
        <v>172</v>
      </c>
      <c r="Q142" s="10" t="inlineStr">
        <is>
          <t>Hoàn thành</t>
        </is>
      </c>
      <c r="R142" s="10">
        <f>IF(OR(K142&lt;0.75, N142&gt;1.0, Q142="Quá hạn xử lý"), "Rủi ro Cao (Cần xử lý)", IF(K142&lt;0.88, "Rủi ro Trung bình", "An toàn / Tốt"))</f>
        <v/>
      </c>
    </row>
    <row r="143">
      <c r="A143" s="14" t="inlineStr">
        <is>
          <t>NV-140</t>
        </is>
      </c>
      <c r="B143" s="15" t="n">
        <v>46149</v>
      </c>
      <c r="C143" s="14" t="inlineStr">
        <is>
          <t>Tháng 05/2026</t>
        </is>
      </c>
      <c r="D143" s="16" t="inlineStr">
        <is>
          <t>Trung tâm Công nghệ &amp; Chuyển đổi số</t>
        </is>
      </c>
      <c r="E143" s="16" t="inlineStr">
        <is>
          <t>Hoàng Tuấn Anh</t>
        </is>
      </c>
      <c r="F143" s="16" t="inlineStr">
        <is>
          <t>Thẩm định Hồ sơ đấu thầu &amp; Mua sắm</t>
        </is>
      </c>
      <c r="G143" s="14" t="inlineStr">
        <is>
          <t>Quan trọng (Trung bình)</t>
        </is>
      </c>
      <c r="H143" s="16" t="inlineStr">
        <is>
          <t>Bán tự động (Excel + Biểu mẫu)</t>
        </is>
      </c>
      <c r="I143" s="17" t="n">
        <v>17</v>
      </c>
      <c r="J143" s="17" t="n">
        <v>14</v>
      </c>
      <c r="K143" s="18">
        <f>J143/I143</f>
        <v/>
      </c>
      <c r="L143" s="17" t="n">
        <v>165500000</v>
      </c>
      <c r="M143" s="17" t="n">
        <v>133900000</v>
      </c>
      <c r="N143" s="18">
        <f>M143/L143</f>
        <v/>
      </c>
      <c r="O143" s="17">
        <f>L143-M143</f>
        <v/>
      </c>
      <c r="P143" s="17" t="n">
        <v>25</v>
      </c>
      <c r="Q143" s="14" t="inlineStr">
        <is>
          <t>Hoàn thành</t>
        </is>
      </c>
      <c r="R143" s="14">
        <f>IF(OR(K143&lt;0.75, N143&gt;1.0, Q143="Quá hạn xử lý"), "Rủi ro Cao (Cần xử lý)", IF(K143&lt;0.88, "Rủi ro Trung bình", "An toàn / Tốt"))</f>
        <v/>
      </c>
    </row>
    <row r="144">
      <c r="A144" s="10" t="inlineStr">
        <is>
          <t>NV-141</t>
        </is>
      </c>
      <c r="B144" s="11" t="n">
        <v>46113</v>
      </c>
      <c r="C144" s="10" t="inlineStr">
        <is>
          <t>Tháng 04/2026</t>
        </is>
      </c>
      <c r="D144" s="5" t="inlineStr">
        <is>
          <t>Văn phòng &amp; Hành chính Tổng hợp</t>
        </is>
      </c>
      <c r="E144" s="5" t="inlineStr">
        <is>
          <t>Trần Thị Mai</t>
        </is>
      </c>
      <c r="F144" s="5" t="inlineStr">
        <is>
          <t>Tổ chức Hội nghị, Tập huấn &amp; Đào tạo</t>
        </is>
      </c>
      <c r="G144" s="10" t="inlineStr">
        <is>
          <t>Quan trọng (Trung bình)</t>
        </is>
      </c>
      <c r="H144" s="5" t="inlineStr">
        <is>
          <t>Phần mềm Quản lý (E-Office)</t>
        </is>
      </c>
      <c r="I144" s="12" t="n">
        <v>158</v>
      </c>
      <c r="J144" s="12" t="n">
        <v>127</v>
      </c>
      <c r="K144" s="13">
        <f>J144/I144</f>
        <v/>
      </c>
      <c r="L144" s="12" t="n">
        <v>34000000</v>
      </c>
      <c r="M144" s="12" t="n">
        <v>32000000</v>
      </c>
      <c r="N144" s="13">
        <f>M144/L144</f>
        <v/>
      </c>
      <c r="O144" s="12">
        <f>L144-M144</f>
        <v/>
      </c>
      <c r="P144" s="12" t="n">
        <v>341</v>
      </c>
      <c r="Q144" s="10" t="inlineStr">
        <is>
          <t>Hoàn thành</t>
        </is>
      </c>
      <c r="R144" s="10">
        <f>IF(OR(K144&lt;0.75, N144&gt;1.0, Q144="Quá hạn xử lý"), "Rủi ro Cao (Cần xử lý)", IF(K144&lt;0.88, "Rủi ro Trung bình", "An toàn / Tốt"))</f>
        <v/>
      </c>
    </row>
    <row r="145">
      <c r="A145" s="14" t="inlineStr">
        <is>
          <t>NV-142</t>
        </is>
      </c>
      <c r="B145" s="15" t="n">
        <v>46041</v>
      </c>
      <c r="C145" s="14" t="inlineStr">
        <is>
          <t>Tháng 01/2026</t>
        </is>
      </c>
      <c r="D145" s="16" t="inlineStr">
        <is>
          <t>Văn phòng &amp; Hành chính Tổng hợp</t>
        </is>
      </c>
      <c r="E145" s="16" t="inlineStr">
        <is>
          <t>Nguyễn Văn Hùng</t>
        </is>
      </c>
      <c r="F145" s="16" t="inlineStr">
        <is>
          <t>Soạn thảo &amp; Ban hành Văn bản điều hành</t>
        </is>
      </c>
      <c r="G145" s="14" t="inlineStr">
        <is>
          <t>Quan trọng (Trung bình)</t>
        </is>
      </c>
      <c r="H145" s="16" t="inlineStr">
        <is>
          <t>Bán tự động (Excel + Biểu mẫu)</t>
        </is>
      </c>
      <c r="I145" s="17" t="n">
        <v>139</v>
      </c>
      <c r="J145" s="17" t="n">
        <v>111</v>
      </c>
      <c r="K145" s="18">
        <f>J145/I145</f>
        <v/>
      </c>
      <c r="L145" s="17" t="n">
        <v>17000000</v>
      </c>
      <c r="M145" s="17" t="n">
        <v>15100000</v>
      </c>
      <c r="N145" s="18">
        <f>M145/L145</f>
        <v/>
      </c>
      <c r="O145" s="17">
        <f>L145-M145</f>
        <v/>
      </c>
      <c r="P145" s="17" t="n">
        <v>234</v>
      </c>
      <c r="Q145" s="14" t="inlineStr">
        <is>
          <t>Hoàn thành</t>
        </is>
      </c>
      <c r="R145" s="14">
        <f>IF(OR(K145&lt;0.75, N145&gt;1.0, Q145="Quá hạn xử lý"), "Rủi ro Cao (Cần xử lý)", IF(K145&lt;0.88, "Rủi ro Trung bình", "An toàn / Tốt"))</f>
        <v/>
      </c>
    </row>
    <row r="146">
      <c r="A146" s="10" t="inlineStr">
        <is>
          <t>NV-143</t>
        </is>
      </c>
      <c r="B146" s="11" t="n">
        <v>46138</v>
      </c>
      <c r="C146" s="10" t="inlineStr">
        <is>
          <t>Tháng 04/2026</t>
        </is>
      </c>
      <c r="D146" s="5" t="inlineStr">
        <is>
          <t>Văn phòng &amp; Hành chính Tổng hợp</t>
        </is>
      </c>
      <c r="E146" s="5" t="inlineStr">
        <is>
          <t>Trần Thị Mai</t>
        </is>
      </c>
      <c r="F146" s="5" t="inlineStr">
        <is>
          <t>Soạn thảo &amp; Ban hành Văn bản điều hành</t>
        </is>
      </c>
      <c r="G146" s="10" t="inlineStr">
        <is>
          <t>Khẩn cấp (Cao)</t>
        </is>
      </c>
      <c r="H146" s="5" t="inlineStr">
        <is>
          <t>Tự động hóa bằng AI Agent</t>
        </is>
      </c>
      <c r="I146" s="12" t="n">
        <v>54</v>
      </c>
      <c r="J146" s="12" t="n">
        <v>51</v>
      </c>
      <c r="K146" s="13">
        <f>J146/I146</f>
        <v/>
      </c>
      <c r="L146" s="12" t="n">
        <v>82500000</v>
      </c>
      <c r="M146" s="12" t="n">
        <v>65600000</v>
      </c>
      <c r="N146" s="13">
        <f>M146/L146</f>
        <v/>
      </c>
      <c r="O146" s="12">
        <f>L146-M146</f>
        <v/>
      </c>
      <c r="P146" s="12" t="n">
        <v>49</v>
      </c>
      <c r="Q146" s="10" t="inlineStr">
        <is>
          <t>Hoàn thành</t>
        </is>
      </c>
      <c r="R146" s="10">
        <f>IF(OR(K146&lt;0.75, N146&gt;1.0, Q146="Quá hạn xử lý"), "Rủi ro Cao (Cần xử lý)", IF(K146&lt;0.88, "Rủi ro Trung bình", "An toàn / Tốt"))</f>
        <v/>
      </c>
    </row>
    <row r="147">
      <c r="A147" s="14" t="inlineStr">
        <is>
          <t>NV-144</t>
        </is>
      </c>
      <c r="B147" s="15" t="n">
        <v>46048</v>
      </c>
      <c r="C147" s="14" t="inlineStr">
        <is>
          <t>Tháng 01/2026</t>
        </is>
      </c>
      <c r="D147" s="16" t="inlineStr">
        <is>
          <t>Phòng Pháp chế &amp; Kiểm soát nội bộ</t>
        </is>
      </c>
      <c r="E147" s="16" t="inlineStr">
        <is>
          <t>Trương Quang Vinh</t>
        </is>
      </c>
      <c r="F147" s="16" t="inlineStr">
        <is>
          <t>Thẩm định Hồ sơ đấu thầu &amp; Mua sắm</t>
        </is>
      </c>
      <c r="G147" s="14" t="inlineStr">
        <is>
          <t>Quan trọng (Trung bình)</t>
        </is>
      </c>
      <c r="H147" s="16" t="inlineStr">
        <is>
          <t>Phần mềm Quản lý (E-Office)</t>
        </is>
      </c>
      <c r="I147" s="17" t="n">
        <v>81</v>
      </c>
      <c r="J147" s="17" t="n">
        <v>69</v>
      </c>
      <c r="K147" s="18">
        <f>J147/I147</f>
        <v/>
      </c>
      <c r="L147" s="17" t="n">
        <v>41500000</v>
      </c>
      <c r="M147" s="17" t="n">
        <v>42300000</v>
      </c>
      <c r="N147" s="18">
        <f>M147/L147</f>
        <v/>
      </c>
      <c r="O147" s="17">
        <f>L147-M147</f>
        <v/>
      </c>
      <c r="P147" s="17" t="n">
        <v>115</v>
      </c>
      <c r="Q147" s="14" t="inlineStr">
        <is>
          <t>Hoàn thành</t>
        </is>
      </c>
      <c r="R147" s="14">
        <f>IF(OR(K147&lt;0.75, N147&gt;1.0, Q147="Quá hạn xử lý"), "Rủi ro Cao (Cần xử lý)", IF(K147&lt;0.88, "Rủi ro Trung bình", "An toàn / Tốt"))</f>
        <v/>
      </c>
    </row>
    <row r="148">
      <c r="A148" s="10" t="inlineStr">
        <is>
          <t>NV-145</t>
        </is>
      </c>
      <c r="B148" s="11" t="n">
        <v>46199</v>
      </c>
      <c r="C148" s="10" t="inlineStr">
        <is>
          <t>Tháng 06/2026</t>
        </is>
      </c>
      <c r="D148" s="5" t="inlineStr">
        <is>
          <t>Phòng Kế hoạch - Tài chính</t>
        </is>
      </c>
      <c r="E148" s="5" t="inlineStr">
        <is>
          <t>Đặng Quốc Khánh</t>
        </is>
      </c>
      <c r="F148" s="5" t="inlineStr">
        <is>
          <t>Thanh quyết toán &amp; Giải ngân Dự án</t>
        </is>
      </c>
      <c r="G148" s="10" t="inlineStr">
        <is>
          <t>Quan trọng (Trung bình)</t>
        </is>
      </c>
      <c r="H148" s="5" t="inlineStr">
        <is>
          <t>Bán tự động (Excel + Biểu mẫu)</t>
        </is>
      </c>
      <c r="I148" s="12" t="n">
        <v>113</v>
      </c>
      <c r="J148" s="12" t="n">
        <v>82</v>
      </c>
      <c r="K148" s="13">
        <f>J148/I148</f>
        <v/>
      </c>
      <c r="L148" s="12" t="n">
        <v>108000000</v>
      </c>
      <c r="M148" s="12" t="n">
        <v>89300000</v>
      </c>
      <c r="N148" s="13">
        <f>M148/L148</f>
        <v/>
      </c>
      <c r="O148" s="12">
        <f>L148-M148</f>
        <v/>
      </c>
      <c r="P148" s="12" t="n">
        <v>296</v>
      </c>
      <c r="Q148" s="10" t="inlineStr">
        <is>
          <t>Hoàn thành</t>
        </is>
      </c>
      <c r="R148" s="10">
        <f>IF(OR(K148&lt;0.75, N148&gt;1.0, Q148="Quá hạn xử lý"), "Rủi ro Cao (Cần xử lý)", IF(K148&lt;0.88, "Rủi ro Trung bình", "An toàn / Tốt"))</f>
        <v/>
      </c>
    </row>
    <row r="149">
      <c r="A149" s="14" t="inlineStr">
        <is>
          <t>NV-146</t>
        </is>
      </c>
      <c r="B149" s="15" t="n">
        <v>46143</v>
      </c>
      <c r="C149" s="14" t="inlineStr">
        <is>
          <t>Tháng 05/2026</t>
        </is>
      </c>
      <c r="D149" s="16" t="inlineStr">
        <is>
          <t>Trung tâm Công nghệ &amp; Chuyển đổi số</t>
        </is>
      </c>
      <c r="E149" s="16" t="inlineStr">
        <is>
          <t>Hoàng Tuấn Anh</t>
        </is>
      </c>
      <c r="F149" s="16" t="inlineStr">
        <is>
          <t>Thanh quyết toán &amp; Giải ngân Dự án</t>
        </is>
      </c>
      <c r="G149" s="14" t="inlineStr">
        <is>
          <t>Quan trọng (Trung bình)</t>
        </is>
      </c>
      <c r="H149" s="16" t="inlineStr">
        <is>
          <t>Phần mềm Quản lý (E-Office)</t>
        </is>
      </c>
      <c r="I149" s="17" t="n">
        <v>63</v>
      </c>
      <c r="J149" s="17" t="n">
        <v>53</v>
      </c>
      <c r="K149" s="18">
        <f>J149/I149</f>
        <v/>
      </c>
      <c r="L149" s="17" t="n">
        <v>465500000</v>
      </c>
      <c r="M149" s="17" t="n">
        <v>348400000</v>
      </c>
      <c r="N149" s="18">
        <f>M149/L149</f>
        <v/>
      </c>
      <c r="O149" s="17">
        <f>L149-M149</f>
        <v/>
      </c>
      <c r="P149" s="17" t="n">
        <v>137</v>
      </c>
      <c r="Q149" s="14" t="inlineStr">
        <is>
          <t>Tạm dừng chờ duyệt</t>
        </is>
      </c>
      <c r="R149" s="14">
        <f>IF(OR(K149&lt;0.75, N149&gt;1.0, Q149="Quá hạn xử lý"), "Rủi ro Cao (Cần xử lý)", IF(K149&lt;0.88, "Rủi ro Trung bình", "An toàn / Tốt"))</f>
        <v/>
      </c>
    </row>
    <row r="150">
      <c r="A150" s="10" t="inlineStr">
        <is>
          <t>NV-147</t>
        </is>
      </c>
      <c r="B150" s="11" t="n">
        <v>46059</v>
      </c>
      <c r="C150" s="10" t="inlineStr">
        <is>
          <t>Tháng 02/2026</t>
        </is>
      </c>
      <c r="D150" s="5" t="inlineStr">
        <is>
          <t>Văn phòng &amp; Hành chính Tổng hợp</t>
        </is>
      </c>
      <c r="E150" s="5" t="inlineStr">
        <is>
          <t>Trần Thị Mai</t>
        </is>
      </c>
      <c r="F150" s="5" t="inlineStr">
        <is>
          <t>Soạn thảo &amp; Ban hành Văn bản điều hành</t>
        </is>
      </c>
      <c r="G150" s="10" t="inlineStr">
        <is>
          <t>Quan trọng (Trung bình)</t>
        </is>
      </c>
      <c r="H150" s="5" t="inlineStr">
        <is>
          <t>Phần mềm Quản lý (E-Office)</t>
        </is>
      </c>
      <c r="I150" s="12" t="n">
        <v>152</v>
      </c>
      <c r="J150" s="12" t="n">
        <v>135</v>
      </c>
      <c r="K150" s="13">
        <f>J150/I150</f>
        <v/>
      </c>
      <c r="L150" s="12" t="n">
        <v>66000000</v>
      </c>
      <c r="M150" s="12" t="n">
        <v>58800000</v>
      </c>
      <c r="N150" s="13">
        <f>M150/L150</f>
        <v/>
      </c>
      <c r="O150" s="12">
        <f>L150-M150</f>
        <v/>
      </c>
      <c r="P150" s="12" t="n">
        <v>277</v>
      </c>
      <c r="Q150" s="10" t="inlineStr">
        <is>
          <t>Hoàn thành</t>
        </is>
      </c>
      <c r="R150" s="10">
        <f>IF(OR(K150&lt;0.75, N150&gt;1.0, Q150="Quá hạn xử lý"), "Rủi ro Cao (Cần xử lý)", IF(K150&lt;0.88, "Rủi ro Trung bình", "An toàn / Tốt"))</f>
        <v/>
      </c>
    </row>
    <row r="151">
      <c r="A151" s="14" t="inlineStr">
        <is>
          <t>NV-148</t>
        </is>
      </c>
      <c r="B151" s="15" t="n">
        <v>46107</v>
      </c>
      <c r="C151" s="14" t="inlineStr">
        <is>
          <t>Tháng 03/2026</t>
        </is>
      </c>
      <c r="D151" s="16" t="inlineStr">
        <is>
          <t>Ban Quản lý Dự án Đầu tư &amp; Hạ tầng</t>
        </is>
      </c>
      <c r="E151" s="16" t="inlineStr">
        <is>
          <t>Mai Anh Tuấn</t>
        </is>
      </c>
      <c r="F151" s="16" t="inlineStr">
        <is>
          <t>Triển khai Hạ tầng &amp; Phần mềm AI nội bộ</t>
        </is>
      </c>
      <c r="G151" s="14" t="inlineStr">
        <is>
          <t>Quan trọng (Trung bình)</t>
        </is>
      </c>
      <c r="H151" s="16" t="inlineStr">
        <is>
          <t>Bán tự động (Excel + Biểu mẫu)</t>
        </is>
      </c>
      <c r="I151" s="17" t="n">
        <v>55</v>
      </c>
      <c r="J151" s="17" t="n">
        <v>40</v>
      </c>
      <c r="K151" s="18">
        <f>J151/I151</f>
        <v/>
      </c>
      <c r="L151" s="17" t="n">
        <v>325000000</v>
      </c>
      <c r="M151" s="17" t="n">
        <v>240400000</v>
      </c>
      <c r="N151" s="18">
        <f>M151/L151</f>
        <v/>
      </c>
      <c r="O151" s="17">
        <f>L151-M151</f>
        <v/>
      </c>
      <c r="P151" s="17" t="n">
        <v>119</v>
      </c>
      <c r="Q151" s="14" t="inlineStr">
        <is>
          <t>Hoàn thành</t>
        </is>
      </c>
      <c r="R151" s="14">
        <f>IF(OR(K151&lt;0.75, N151&gt;1.0, Q151="Quá hạn xử lý"), "Rủi ro Cao (Cần xử lý)", IF(K151&lt;0.88, "Rủi ro Trung bình", "An toàn / Tốt"))</f>
        <v/>
      </c>
    </row>
    <row r="152">
      <c r="A152" s="10" t="inlineStr">
        <is>
          <t>NV-149</t>
        </is>
      </c>
      <c r="B152" s="11" t="n">
        <v>46153</v>
      </c>
      <c r="C152" s="10" t="inlineStr">
        <is>
          <t>Tháng 05/2026</t>
        </is>
      </c>
      <c r="D152" s="5" t="inlineStr">
        <is>
          <t>Văn phòng &amp; Hành chính Tổng hợp</t>
        </is>
      </c>
      <c r="E152" s="5" t="inlineStr">
        <is>
          <t>Trần Thị Mai</t>
        </is>
      </c>
      <c r="F152" s="5" t="inlineStr">
        <is>
          <t>Soạn thảo &amp; Ban hành Văn bản điều hành</t>
        </is>
      </c>
      <c r="G152" s="10" t="inlineStr">
        <is>
          <t>Định kỳ (Thấp)</t>
        </is>
      </c>
      <c r="H152" s="5" t="inlineStr">
        <is>
          <t>Tự động hóa bằng AI Agent</t>
        </is>
      </c>
      <c r="I152" s="12" t="n">
        <v>111</v>
      </c>
      <c r="J152" s="12" t="n">
        <v>93</v>
      </c>
      <c r="K152" s="13">
        <f>J152/I152</f>
        <v/>
      </c>
      <c r="L152" s="12" t="n">
        <v>82000000</v>
      </c>
      <c r="M152" s="12" t="n">
        <v>68800000</v>
      </c>
      <c r="N152" s="13">
        <f>M152/L152</f>
        <v/>
      </c>
      <c r="O152" s="12">
        <f>L152-M152</f>
        <v/>
      </c>
      <c r="P152" s="12" t="n">
        <v>127</v>
      </c>
      <c r="Q152" s="10" t="inlineStr">
        <is>
          <t>Hoàn thành</t>
        </is>
      </c>
      <c r="R152" s="10">
        <f>IF(OR(K152&lt;0.75, N152&gt;1.0, Q152="Quá hạn xử lý"), "Rủi ro Cao (Cần xử lý)", IF(K152&lt;0.88, "Rủi ro Trung bình", "An toàn / Tốt"))</f>
        <v/>
      </c>
    </row>
    <row r="153">
      <c r="A153" s="14" t="inlineStr">
        <is>
          <t>NV-150</t>
        </is>
      </c>
      <c r="B153" s="15" t="n">
        <v>46065</v>
      </c>
      <c r="C153" s="14" t="inlineStr">
        <is>
          <t>Tháng 02/2026</t>
        </is>
      </c>
      <c r="D153" s="16" t="inlineStr">
        <is>
          <t>Phòng Tổ chức - Nhân sự &amp; Đào tạo</t>
        </is>
      </c>
      <c r="E153" s="16" t="inlineStr">
        <is>
          <t>Lý Minh Khôi</t>
        </is>
      </c>
      <c r="F153" s="16" t="inlineStr">
        <is>
          <t>Thanh quyết toán &amp; Giải ngân Dự án</t>
        </is>
      </c>
      <c r="G153" s="14" t="inlineStr">
        <is>
          <t>Quan trọng (Trung bình)</t>
        </is>
      </c>
      <c r="H153" s="16" t="inlineStr">
        <is>
          <t>Phần mềm Quản lý (E-Office)</t>
        </is>
      </c>
      <c r="I153" s="17" t="n">
        <v>78</v>
      </c>
      <c r="J153" s="17" t="n">
        <v>62</v>
      </c>
      <c r="K153" s="18">
        <f>J153/I153</f>
        <v/>
      </c>
      <c r="L153" s="17" t="n">
        <v>107000000</v>
      </c>
      <c r="M153" s="17" t="n">
        <v>80000000</v>
      </c>
      <c r="N153" s="18">
        <f>M153/L153</f>
        <v/>
      </c>
      <c r="O153" s="17">
        <f>L153-M153</f>
        <v/>
      </c>
      <c r="P153" s="17" t="n">
        <v>100</v>
      </c>
      <c r="Q153" s="14" t="inlineStr">
        <is>
          <t>Hoàn thành</t>
        </is>
      </c>
      <c r="R153" s="14">
        <f>IF(OR(K153&lt;0.75, N153&gt;1.0, Q153="Quá hạn xử lý"), "Rủi ro Cao (Cần xử lý)", IF(K153&lt;0.88, "Rủi ro Trung bình", "An toàn / Tốt"))</f>
        <v/>
      </c>
    </row>
    <row r="154">
      <c r="A154" s="10" t="inlineStr">
        <is>
          <t>NV-151</t>
        </is>
      </c>
      <c r="B154" s="11" t="n">
        <v>46147</v>
      </c>
      <c r="C154" s="10" t="inlineStr">
        <is>
          <t>Tháng 05/2026</t>
        </is>
      </c>
      <c r="D154" s="5" t="inlineStr">
        <is>
          <t>Văn phòng &amp; Hành chính Tổng hợp</t>
        </is>
      </c>
      <c r="E154" s="5" t="inlineStr">
        <is>
          <t>Lê Hoàng Nam</t>
        </is>
      </c>
      <c r="F154" s="5" t="inlineStr">
        <is>
          <t>Soạn thảo &amp; Ban hành Văn bản điều hành</t>
        </is>
      </c>
      <c r="G154" s="10" t="inlineStr">
        <is>
          <t>Quan trọng (Trung bình)</t>
        </is>
      </c>
      <c r="H154" s="5" t="inlineStr">
        <is>
          <t>Tự động hóa bằng AI Agent</t>
        </is>
      </c>
      <c r="I154" s="12" t="n">
        <v>88</v>
      </c>
      <c r="J154" s="12" t="n">
        <v>84</v>
      </c>
      <c r="K154" s="13">
        <f>J154/I154</f>
        <v/>
      </c>
      <c r="L154" s="12" t="n">
        <v>44000000</v>
      </c>
      <c r="M154" s="12" t="n">
        <v>42000000</v>
      </c>
      <c r="N154" s="13">
        <f>M154/L154</f>
        <v/>
      </c>
      <c r="O154" s="12">
        <f>L154-M154</f>
        <v/>
      </c>
      <c r="P154" s="12" t="n">
        <v>89</v>
      </c>
      <c r="Q154" s="10" t="inlineStr">
        <is>
          <t>Hoàn thành</t>
        </is>
      </c>
      <c r="R154" s="10">
        <f>IF(OR(K154&lt;0.75, N154&gt;1.0, Q154="Quá hạn xử lý"), "Rủi ro Cao (Cần xử lý)", IF(K154&lt;0.88, "Rủi ro Trung bình", "An toàn / Tốt"))</f>
        <v/>
      </c>
    </row>
    <row r="155">
      <c r="A155" s="14" t="inlineStr">
        <is>
          <t>NV-152</t>
        </is>
      </c>
      <c r="B155" s="15" t="n">
        <v>46041</v>
      </c>
      <c r="C155" s="14" t="inlineStr">
        <is>
          <t>Tháng 01/2026</t>
        </is>
      </c>
      <c r="D155" s="16" t="inlineStr">
        <is>
          <t>Phòng Kế hoạch - Tài chính</t>
        </is>
      </c>
      <c r="E155" s="16" t="inlineStr">
        <is>
          <t>Phạm Minh Đức</t>
        </is>
      </c>
      <c r="F155" s="16" t="inlineStr">
        <is>
          <t>Thẩm định Hồ sơ đấu thầu &amp; Mua sắm</t>
        </is>
      </c>
      <c r="G155" s="14" t="inlineStr">
        <is>
          <t>Khẩn cấp (Cao)</t>
        </is>
      </c>
      <c r="H155" s="16" t="inlineStr">
        <is>
          <t>Xử lý Thủ công (Hồ sơ giấy)</t>
        </is>
      </c>
      <c r="I155" s="17" t="n">
        <v>140</v>
      </c>
      <c r="J155" s="17" t="n">
        <v>79</v>
      </c>
      <c r="K155" s="18">
        <f>J155/I155</f>
        <v/>
      </c>
      <c r="L155" s="17" t="n">
        <v>184500000</v>
      </c>
      <c r="M155" s="17" t="n">
        <v>135000000</v>
      </c>
      <c r="N155" s="18">
        <f>M155/L155</f>
        <v/>
      </c>
      <c r="O155" s="17">
        <f>L155-M155</f>
        <v/>
      </c>
      <c r="P155" s="17" t="n">
        <v>442</v>
      </c>
      <c r="Q155" s="14" t="inlineStr">
        <is>
          <t>Đang thực hiện</t>
        </is>
      </c>
      <c r="R155" s="14">
        <f>IF(OR(K155&lt;0.75, N155&gt;1.0, Q155="Quá hạn xử lý"), "Rủi ro Cao (Cần xử lý)", IF(K155&lt;0.88, "Rủi ro Trung bình", "An toàn / Tốt"))</f>
        <v/>
      </c>
    </row>
    <row r="156">
      <c r="A156" s="10" t="inlineStr">
        <is>
          <t>NV-153</t>
        </is>
      </c>
      <c r="B156" s="11" t="n">
        <v>46175</v>
      </c>
      <c r="C156" s="10" t="inlineStr">
        <is>
          <t>Tháng 06/2026</t>
        </is>
      </c>
      <c r="D156" s="5" t="inlineStr">
        <is>
          <t>Trung tâm Công nghệ &amp; Chuyển đổi số</t>
        </is>
      </c>
      <c r="E156" s="5" t="inlineStr">
        <is>
          <t>Ngô Phương Linh</t>
        </is>
      </c>
      <c r="F156" s="5" t="inlineStr">
        <is>
          <t>Thanh quyết toán &amp; Giải ngân Dự án</t>
        </is>
      </c>
      <c r="G156" s="10" t="inlineStr">
        <is>
          <t>Quan trọng (Trung bình)</t>
        </is>
      </c>
      <c r="H156" s="5" t="inlineStr">
        <is>
          <t>Tự động hóa bằng AI Agent</t>
        </is>
      </c>
      <c r="I156" s="12" t="n">
        <v>67</v>
      </c>
      <c r="J156" s="12" t="n">
        <v>57</v>
      </c>
      <c r="K156" s="13">
        <f>J156/I156</f>
        <v/>
      </c>
      <c r="L156" s="12" t="n">
        <v>624500000</v>
      </c>
      <c r="M156" s="12" t="n">
        <v>605500000</v>
      </c>
      <c r="N156" s="13">
        <f>M156/L156</f>
        <v/>
      </c>
      <c r="O156" s="12">
        <f>L156-M156</f>
        <v/>
      </c>
      <c r="P156" s="12" t="n">
        <v>57</v>
      </c>
      <c r="Q156" s="10" t="inlineStr">
        <is>
          <t>Hoàn thành</t>
        </is>
      </c>
      <c r="R156" s="10">
        <f>IF(OR(K156&lt;0.75, N156&gt;1.0, Q156="Quá hạn xử lý"), "Rủi ro Cao (Cần xử lý)", IF(K156&lt;0.88, "Rủi ro Trung bình", "An toàn / Tốt"))</f>
        <v/>
      </c>
    </row>
    <row r="157">
      <c r="A157" s="14" t="inlineStr">
        <is>
          <t>NV-154</t>
        </is>
      </c>
      <c r="B157" s="15" t="n">
        <v>46190</v>
      </c>
      <c r="C157" s="14" t="inlineStr">
        <is>
          <t>Tháng 06/2026</t>
        </is>
      </c>
      <c r="D157" s="16" t="inlineStr">
        <is>
          <t>Phòng Pháp chế &amp; Kiểm soát nội bộ</t>
        </is>
      </c>
      <c r="E157" s="16" t="inlineStr">
        <is>
          <t>Trương Quang Vinh</t>
        </is>
      </c>
      <c r="F157" s="16" t="inlineStr">
        <is>
          <t>Triển khai Hạ tầng &amp; Phần mềm AI nội bộ</t>
        </is>
      </c>
      <c r="G157" s="14" t="inlineStr">
        <is>
          <t>Định kỳ (Thấp)</t>
        </is>
      </c>
      <c r="H157" s="16" t="inlineStr">
        <is>
          <t>Bán tự động (Excel + Biểu mẫu)</t>
        </is>
      </c>
      <c r="I157" s="17" t="n">
        <v>66</v>
      </c>
      <c r="J157" s="17" t="n">
        <v>51</v>
      </c>
      <c r="K157" s="18">
        <f>J157/I157</f>
        <v/>
      </c>
      <c r="L157" s="17" t="n">
        <v>104500000</v>
      </c>
      <c r="M157" s="17" t="n">
        <v>105500000</v>
      </c>
      <c r="N157" s="18">
        <f>M157/L157</f>
        <v/>
      </c>
      <c r="O157" s="17">
        <f>L157-M157</f>
        <v/>
      </c>
      <c r="P157" s="17" t="n">
        <v>85</v>
      </c>
      <c r="Q157" s="14" t="inlineStr">
        <is>
          <t>Hoàn thành</t>
        </is>
      </c>
      <c r="R157" s="14">
        <f>IF(OR(K157&lt;0.75, N157&gt;1.0, Q157="Quá hạn xử lý"), "Rủi ro Cao (Cần xử lý)", IF(K157&lt;0.88, "Rủi ro Trung bình", "An toàn / Tốt"))</f>
        <v/>
      </c>
    </row>
    <row r="158">
      <c r="A158" s="10" t="inlineStr">
        <is>
          <t>NV-155</t>
        </is>
      </c>
      <c r="B158" s="11" t="n">
        <v>46198</v>
      </c>
      <c r="C158" s="10" t="inlineStr">
        <is>
          <t>Tháng 06/2026</t>
        </is>
      </c>
      <c r="D158" s="5" t="inlineStr">
        <is>
          <t>Phòng Pháp chế &amp; Kiểm soát nội bộ</t>
        </is>
      </c>
      <c r="E158" s="5" t="inlineStr">
        <is>
          <t>Phan Thanh Thảo</t>
        </is>
      </c>
      <c r="F158" s="5" t="inlineStr">
        <is>
          <t>Soạn thảo &amp; Ban hành Văn bản điều hành</t>
        </is>
      </c>
      <c r="G158" s="10" t="inlineStr">
        <is>
          <t>Quan trọng (Trung bình)</t>
        </is>
      </c>
      <c r="H158" s="5" t="inlineStr">
        <is>
          <t>Bán tự động (Excel + Biểu mẫu)</t>
        </is>
      </c>
      <c r="I158" s="12" t="n">
        <v>80</v>
      </c>
      <c r="J158" s="12" t="n">
        <v>58</v>
      </c>
      <c r="K158" s="13">
        <f>J158/I158</f>
        <v/>
      </c>
      <c r="L158" s="12" t="n">
        <v>54000000</v>
      </c>
      <c r="M158" s="12" t="n">
        <v>50800000</v>
      </c>
      <c r="N158" s="13">
        <f>M158/L158</f>
        <v/>
      </c>
      <c r="O158" s="12">
        <f>L158-M158</f>
        <v/>
      </c>
      <c r="P158" s="12" t="n">
        <v>128</v>
      </c>
      <c r="Q158" s="10" t="inlineStr">
        <is>
          <t>Đang thực hiện</t>
        </is>
      </c>
      <c r="R158" s="10">
        <f>IF(OR(K158&lt;0.75, N158&gt;1.0, Q158="Quá hạn xử lý"), "Rủi ro Cao (Cần xử lý)", IF(K158&lt;0.88, "Rủi ro Trung bình", "An toàn / Tốt"))</f>
        <v/>
      </c>
    </row>
    <row r="159">
      <c r="A159" s="14" t="inlineStr">
        <is>
          <t>NV-156</t>
        </is>
      </c>
      <c r="B159" s="15" t="n">
        <v>46138</v>
      </c>
      <c r="C159" s="14" t="inlineStr">
        <is>
          <t>Tháng 04/2026</t>
        </is>
      </c>
      <c r="D159" s="16" t="inlineStr">
        <is>
          <t>Ban Quản lý Dự án Đầu tư &amp; Hạ tầng</t>
        </is>
      </c>
      <c r="E159" s="16" t="inlineStr">
        <is>
          <t>Mai Anh Tuấn</t>
        </is>
      </c>
      <c r="F159" s="16" t="inlineStr">
        <is>
          <t>Triển khai Hạ tầng &amp; Phần mềm AI nội bộ</t>
        </is>
      </c>
      <c r="G159" s="14" t="inlineStr">
        <is>
          <t>Quan trọng (Trung bình)</t>
        </is>
      </c>
      <c r="H159" s="16" t="inlineStr">
        <is>
          <t>Tự động hóa bằng AI Agent</t>
        </is>
      </c>
      <c r="I159" s="17" t="n">
        <v>17</v>
      </c>
      <c r="J159" s="17" t="n">
        <v>14</v>
      </c>
      <c r="K159" s="18">
        <f>J159/I159</f>
        <v/>
      </c>
      <c r="L159" s="17" t="n">
        <v>522000000</v>
      </c>
      <c r="M159" s="17" t="n">
        <v>439200000</v>
      </c>
      <c r="N159" s="18">
        <f>M159/L159</f>
        <v/>
      </c>
      <c r="O159" s="17">
        <f>L159-M159</f>
        <v/>
      </c>
      <c r="P159" s="17" t="n">
        <v>21</v>
      </c>
      <c r="Q159" s="14" t="inlineStr">
        <is>
          <t>Hoàn thành</t>
        </is>
      </c>
      <c r="R159" s="14">
        <f>IF(OR(K159&lt;0.75, N159&gt;1.0, Q159="Quá hạn xử lý"), "Rủi ro Cao (Cần xử lý)", IF(K159&lt;0.88, "Rủi ro Trung bình", "An toàn / Tốt"))</f>
        <v/>
      </c>
    </row>
    <row r="160">
      <c r="A160" s="10" t="inlineStr">
        <is>
          <t>NV-157</t>
        </is>
      </c>
      <c r="B160" s="11" t="n">
        <v>46176</v>
      </c>
      <c r="C160" s="10" t="inlineStr">
        <is>
          <t>Tháng 06/2026</t>
        </is>
      </c>
      <c r="D160" s="5" t="inlineStr">
        <is>
          <t>Trung tâm Công nghệ &amp; Chuyển đổi số</t>
        </is>
      </c>
      <c r="E160" s="5" t="inlineStr">
        <is>
          <t>Ngô Phương Linh</t>
        </is>
      </c>
      <c r="F160" s="5" t="inlineStr">
        <is>
          <t>Thanh quyết toán &amp; Giải ngân Dự án</t>
        </is>
      </c>
      <c r="G160" s="10" t="inlineStr">
        <is>
          <t>Quan trọng (Trung bình)</t>
        </is>
      </c>
      <c r="H160" s="5" t="inlineStr">
        <is>
          <t>Phần mềm Quản lý (E-Office)</t>
        </is>
      </c>
      <c r="I160" s="12" t="n">
        <v>75</v>
      </c>
      <c r="J160" s="12" t="n">
        <v>63</v>
      </c>
      <c r="K160" s="13">
        <f>J160/I160</f>
        <v/>
      </c>
      <c r="L160" s="12" t="n">
        <v>211000000</v>
      </c>
      <c r="M160" s="12" t="n">
        <v>180000000</v>
      </c>
      <c r="N160" s="13">
        <f>M160/L160</f>
        <v/>
      </c>
      <c r="O160" s="12">
        <f>L160-M160</f>
        <v/>
      </c>
      <c r="P160" s="12" t="n">
        <v>117</v>
      </c>
      <c r="Q160" s="10" t="inlineStr">
        <is>
          <t>Đang thực hiện</t>
        </is>
      </c>
      <c r="R160" s="10">
        <f>IF(OR(K160&lt;0.75, N160&gt;1.0, Q160="Quá hạn xử lý"), "Rủi ro Cao (Cần xử lý)", IF(K160&lt;0.88, "Rủi ro Trung bình", "An toàn / Tốt"))</f>
        <v/>
      </c>
    </row>
    <row r="161">
      <c r="A161" s="14" t="inlineStr">
        <is>
          <t>NV-158</t>
        </is>
      </c>
      <c r="B161" s="15" t="n">
        <v>46152</v>
      </c>
      <c r="C161" s="14" t="inlineStr">
        <is>
          <t>Tháng 05/2026</t>
        </is>
      </c>
      <c r="D161" s="16" t="inlineStr">
        <is>
          <t>Văn phòng &amp; Hành chính Tổng hợp</t>
        </is>
      </c>
      <c r="E161" s="16" t="inlineStr">
        <is>
          <t>Lê Hoàng Nam</t>
        </is>
      </c>
      <c r="F161" s="16" t="inlineStr">
        <is>
          <t>Tổ chức Hội nghị, Tập huấn &amp; Đào tạo</t>
        </is>
      </c>
      <c r="G161" s="14" t="inlineStr">
        <is>
          <t>Quan trọng (Trung bình)</t>
        </is>
      </c>
      <c r="H161" s="16" t="inlineStr">
        <is>
          <t>Tự động hóa bằng AI Agent</t>
        </is>
      </c>
      <c r="I161" s="17" t="n">
        <v>147</v>
      </c>
      <c r="J161" s="17" t="n">
        <v>128</v>
      </c>
      <c r="K161" s="18">
        <f>J161/I161</f>
        <v/>
      </c>
      <c r="L161" s="17" t="n">
        <v>38000000</v>
      </c>
      <c r="M161" s="17" t="n">
        <v>36700000</v>
      </c>
      <c r="N161" s="18">
        <f>M161/L161</f>
        <v/>
      </c>
      <c r="O161" s="17">
        <f>L161-M161</f>
        <v/>
      </c>
      <c r="P161" s="17" t="n">
        <v>181</v>
      </c>
      <c r="Q161" s="14" t="inlineStr">
        <is>
          <t>Hoàn thành</t>
        </is>
      </c>
      <c r="R161" s="14">
        <f>IF(OR(K161&lt;0.75, N161&gt;1.0, Q161="Quá hạn xử lý"), "Rủi ro Cao (Cần xử lý)", IF(K161&lt;0.88, "Rủi ro Trung bình", "An toàn / Tốt"))</f>
        <v/>
      </c>
    </row>
    <row r="162">
      <c r="A162" s="10" t="inlineStr">
        <is>
          <t>NV-159</t>
        </is>
      </c>
      <c r="B162" s="11" t="n">
        <v>46062</v>
      </c>
      <c r="C162" s="10" t="inlineStr">
        <is>
          <t>Tháng 02/2026</t>
        </is>
      </c>
      <c r="D162" s="5" t="inlineStr">
        <is>
          <t>Phòng Pháp chế &amp; Kiểm soát nội bộ</t>
        </is>
      </c>
      <c r="E162" s="5" t="inlineStr">
        <is>
          <t>Phan Thanh Thảo</t>
        </is>
      </c>
      <c r="F162" s="5" t="inlineStr">
        <is>
          <t>Kiểm tra, Rà soát Pháp lý &amp; Tuân thủ</t>
        </is>
      </c>
      <c r="G162" s="10" t="inlineStr">
        <is>
          <t>Quan trọng (Trung bình)</t>
        </is>
      </c>
      <c r="H162" s="5" t="inlineStr">
        <is>
          <t>Xử lý Thủ công (Hồ sơ giấy)</t>
        </is>
      </c>
      <c r="I162" s="12" t="n">
        <v>20</v>
      </c>
      <c r="J162" s="12" t="n">
        <v>11</v>
      </c>
      <c r="K162" s="13">
        <f>J162/I162</f>
        <v/>
      </c>
      <c r="L162" s="12" t="n">
        <v>75000000</v>
      </c>
      <c r="M162" s="12" t="n">
        <v>65300000</v>
      </c>
      <c r="N162" s="13">
        <f>M162/L162</f>
        <v/>
      </c>
      <c r="O162" s="12">
        <f>L162-M162</f>
        <v/>
      </c>
      <c r="P162" s="12" t="n">
        <v>64</v>
      </c>
      <c r="Q162" s="10" t="inlineStr">
        <is>
          <t>Đang thực hiện</t>
        </is>
      </c>
      <c r="R162" s="10">
        <f>IF(OR(K162&lt;0.75, N162&gt;1.0, Q162="Quá hạn xử lý"), "Rủi ro Cao (Cần xử lý)", IF(K162&lt;0.88, "Rủi ro Trung bình", "An toàn / Tốt"))</f>
        <v/>
      </c>
    </row>
    <row r="163">
      <c r="A163" s="14" t="inlineStr">
        <is>
          <t>NV-160</t>
        </is>
      </c>
      <c r="B163" s="15" t="n">
        <v>46087</v>
      </c>
      <c r="C163" s="14" t="inlineStr">
        <is>
          <t>Tháng 03/2026</t>
        </is>
      </c>
      <c r="D163" s="16" t="inlineStr">
        <is>
          <t>Phòng Pháp chế &amp; Kiểm soát nội bộ</t>
        </is>
      </c>
      <c r="E163" s="16" t="inlineStr">
        <is>
          <t>Phan Thanh Thảo</t>
        </is>
      </c>
      <c r="F163" s="16" t="inlineStr">
        <is>
          <t>Thẩm định Hồ sơ đấu thầu &amp; Mua sắm</t>
        </is>
      </c>
      <c r="G163" s="14" t="inlineStr">
        <is>
          <t>Quan trọng (Trung bình)</t>
        </is>
      </c>
      <c r="H163" s="16" t="inlineStr">
        <is>
          <t>Tự động hóa bằng AI Agent</t>
        </is>
      </c>
      <c r="I163" s="17" t="n">
        <v>92</v>
      </c>
      <c r="J163" s="17" t="n">
        <v>87</v>
      </c>
      <c r="K163" s="18">
        <f>J163/I163</f>
        <v/>
      </c>
      <c r="L163" s="17" t="n">
        <v>160000000</v>
      </c>
      <c r="M163" s="17" t="n">
        <v>158100000</v>
      </c>
      <c r="N163" s="18">
        <f>M163/L163</f>
        <v/>
      </c>
      <c r="O163" s="17">
        <f>L163-M163</f>
        <v/>
      </c>
      <c r="P163" s="17" t="n">
        <v>130</v>
      </c>
      <c r="Q163" s="14" t="inlineStr">
        <is>
          <t>Đang thực hiện</t>
        </is>
      </c>
      <c r="R163" s="14">
        <f>IF(OR(K163&lt;0.75, N163&gt;1.0, Q163="Quá hạn xử lý"), "Rủi ro Cao (Cần xử lý)", IF(K163&lt;0.88, "Rủi ro Trung bình", "An toàn / Tốt"))</f>
        <v/>
      </c>
    </row>
    <row r="164">
      <c r="A164" s="10" t="inlineStr">
        <is>
          <t>NV-161</t>
        </is>
      </c>
      <c r="B164" s="11" t="n">
        <v>46096</v>
      </c>
      <c r="C164" s="10" t="inlineStr">
        <is>
          <t>Tháng 03/2026</t>
        </is>
      </c>
      <c r="D164" s="5" t="inlineStr">
        <is>
          <t>Phòng Pháp chế &amp; Kiểm soát nội bộ</t>
        </is>
      </c>
      <c r="E164" s="5" t="inlineStr">
        <is>
          <t>Phan Thanh Thảo</t>
        </is>
      </c>
      <c r="F164" s="5" t="inlineStr">
        <is>
          <t>Tổ chức Hội nghị, Tập huấn &amp; Đào tạo</t>
        </is>
      </c>
      <c r="G164" s="10" t="inlineStr">
        <is>
          <t>Định kỳ (Thấp)</t>
        </is>
      </c>
      <c r="H164" s="5" t="inlineStr">
        <is>
          <t>Phần mềm Quản lý (E-Office)</t>
        </is>
      </c>
      <c r="I164" s="12" t="n">
        <v>34</v>
      </c>
      <c r="J164" s="12" t="n">
        <v>26</v>
      </c>
      <c r="K164" s="13">
        <f>J164/I164</f>
        <v/>
      </c>
      <c r="L164" s="12" t="n">
        <v>34500000</v>
      </c>
      <c r="M164" s="12" t="n">
        <v>28600000</v>
      </c>
      <c r="N164" s="13">
        <f>M164/L164</f>
        <v/>
      </c>
      <c r="O164" s="12">
        <f>L164-M164</f>
        <v/>
      </c>
      <c r="P164" s="12" t="n">
        <v>50</v>
      </c>
      <c r="Q164" s="10" t="inlineStr">
        <is>
          <t>Hoàn thành</t>
        </is>
      </c>
      <c r="R164" s="10">
        <f>IF(OR(K164&lt;0.75, N164&gt;1.0, Q164="Quá hạn xử lý"), "Rủi ro Cao (Cần xử lý)", IF(K164&lt;0.88, "Rủi ro Trung bình", "An toàn / Tốt"))</f>
        <v/>
      </c>
    </row>
    <row r="165">
      <c r="A165" s="14" t="inlineStr">
        <is>
          <t>NV-162</t>
        </is>
      </c>
      <c r="B165" s="15" t="n">
        <v>46059</v>
      </c>
      <c r="C165" s="14" t="inlineStr">
        <is>
          <t>Tháng 02/2026</t>
        </is>
      </c>
      <c r="D165" s="16" t="inlineStr">
        <is>
          <t>Văn phòng &amp; Hành chính Tổng hợp</t>
        </is>
      </c>
      <c r="E165" s="16" t="inlineStr">
        <is>
          <t>Trần Thị Mai</t>
        </is>
      </c>
      <c r="F165" s="16" t="inlineStr">
        <is>
          <t>Soạn thảo &amp; Ban hành Văn bản điều hành</t>
        </is>
      </c>
      <c r="G165" s="14" t="inlineStr">
        <is>
          <t>Khẩn cấp (Cao)</t>
        </is>
      </c>
      <c r="H165" s="16" t="inlineStr">
        <is>
          <t>Tự động hóa bằng AI Agent</t>
        </is>
      </c>
      <c r="I165" s="17" t="n">
        <v>58</v>
      </c>
      <c r="J165" s="17" t="n">
        <v>52</v>
      </c>
      <c r="K165" s="18">
        <f>J165/I165</f>
        <v/>
      </c>
      <c r="L165" s="17" t="n">
        <v>97500000</v>
      </c>
      <c r="M165" s="17" t="n">
        <v>85000000</v>
      </c>
      <c r="N165" s="18">
        <f>M165/L165</f>
        <v/>
      </c>
      <c r="O165" s="17">
        <f>L165-M165</f>
        <v/>
      </c>
      <c r="P165" s="17" t="n">
        <v>101</v>
      </c>
      <c r="Q165" s="14" t="inlineStr">
        <is>
          <t>Hoàn thành</t>
        </is>
      </c>
      <c r="R165" s="14">
        <f>IF(OR(K165&lt;0.75, N165&gt;1.0, Q165="Quá hạn xử lý"), "Rủi ro Cao (Cần xử lý)", IF(K165&lt;0.88, "Rủi ro Trung bình", "An toàn / Tốt"))</f>
        <v/>
      </c>
    </row>
    <row r="166">
      <c r="A166" s="10" t="inlineStr">
        <is>
          <t>NV-163</t>
        </is>
      </c>
      <c r="B166" s="11" t="n">
        <v>46126</v>
      </c>
      <c r="C166" s="10" t="inlineStr">
        <is>
          <t>Tháng 04/2026</t>
        </is>
      </c>
      <c r="D166" s="5" t="inlineStr">
        <is>
          <t>Phòng Tổ chức - Nhân sự &amp; Đào tạo</t>
        </is>
      </c>
      <c r="E166" s="5" t="inlineStr">
        <is>
          <t>Lý Minh Khôi</t>
        </is>
      </c>
      <c r="F166" s="5" t="inlineStr">
        <is>
          <t>Kiểm tra, Rà soát Pháp lý &amp; Tuân thủ</t>
        </is>
      </c>
      <c r="G166" s="10" t="inlineStr">
        <is>
          <t>Quan trọng (Trung bình)</t>
        </is>
      </c>
      <c r="H166" s="5" t="inlineStr">
        <is>
          <t>Tự động hóa bằng AI Agent</t>
        </is>
      </c>
      <c r="I166" s="12" t="n">
        <v>49</v>
      </c>
      <c r="J166" s="12" t="n">
        <v>45</v>
      </c>
      <c r="K166" s="13">
        <f>J166/I166</f>
        <v/>
      </c>
      <c r="L166" s="12" t="n">
        <v>86500000</v>
      </c>
      <c r="M166" s="12" t="n">
        <v>68800000</v>
      </c>
      <c r="N166" s="13">
        <f>M166/L166</f>
        <v/>
      </c>
      <c r="O166" s="12">
        <f>L166-M166</f>
        <v/>
      </c>
      <c r="P166" s="12" t="n">
        <v>39</v>
      </c>
      <c r="Q166" s="10" t="inlineStr">
        <is>
          <t>Tạm dừng chờ duyệt</t>
        </is>
      </c>
      <c r="R166" s="10">
        <f>IF(OR(K166&lt;0.75, N166&gt;1.0, Q166="Quá hạn xử lý"), "Rủi ro Cao (Cần xử lý)", IF(K166&lt;0.88, "Rủi ro Trung bình", "An toàn / Tốt"))</f>
        <v/>
      </c>
    </row>
    <row r="167">
      <c r="A167" s="14" t="inlineStr">
        <is>
          <t>NV-164</t>
        </is>
      </c>
      <c r="B167" s="15" t="n">
        <v>46165</v>
      </c>
      <c r="C167" s="14" t="inlineStr">
        <is>
          <t>Tháng 05/2026</t>
        </is>
      </c>
      <c r="D167" s="16" t="inlineStr">
        <is>
          <t>Văn phòng &amp; Hành chính Tổng hợp</t>
        </is>
      </c>
      <c r="E167" s="16" t="inlineStr">
        <is>
          <t>Lê Hoàng Nam</t>
        </is>
      </c>
      <c r="F167" s="16" t="inlineStr">
        <is>
          <t>Tổ chức Hội nghị, Tập huấn &amp; Đào tạo</t>
        </is>
      </c>
      <c r="G167" s="14" t="inlineStr">
        <is>
          <t>Khẩn cấp (Cao)</t>
        </is>
      </c>
      <c r="H167" s="16" t="inlineStr">
        <is>
          <t>Xử lý Thủ công (Hồ sơ giấy)</t>
        </is>
      </c>
      <c r="I167" s="17" t="n">
        <v>89</v>
      </c>
      <c r="J167" s="17" t="n">
        <v>59</v>
      </c>
      <c r="K167" s="18">
        <f>J167/I167</f>
        <v/>
      </c>
      <c r="L167" s="17" t="n">
        <v>77500000</v>
      </c>
      <c r="M167" s="17" t="n">
        <v>76700000</v>
      </c>
      <c r="N167" s="18">
        <f>M167/L167</f>
        <v/>
      </c>
      <c r="O167" s="17">
        <f>L167-M167</f>
        <v/>
      </c>
      <c r="P167" s="17" t="n">
        <v>268</v>
      </c>
      <c r="Q167" s="14" t="inlineStr">
        <is>
          <t>Quá hạn xử lý</t>
        </is>
      </c>
      <c r="R167" s="14">
        <f>IF(OR(K167&lt;0.75, N167&gt;1.0, Q167="Quá hạn xử lý"), "Rủi ro Cao (Cần xử lý)", IF(K167&lt;0.88, "Rủi ro Trung bình", "An toàn / Tốt"))</f>
        <v/>
      </c>
    </row>
    <row r="168">
      <c r="A168" s="10" t="inlineStr">
        <is>
          <t>NV-165</t>
        </is>
      </c>
      <c r="B168" s="11" t="n">
        <v>46174</v>
      </c>
      <c r="C168" s="10" t="inlineStr">
        <is>
          <t>Tháng 06/2026</t>
        </is>
      </c>
      <c r="D168" s="5" t="inlineStr">
        <is>
          <t>Trung tâm Công nghệ &amp; Chuyển đổi số</t>
        </is>
      </c>
      <c r="E168" s="5" t="inlineStr">
        <is>
          <t>Hoàng Tuấn Anh</t>
        </is>
      </c>
      <c r="F168" s="5" t="inlineStr">
        <is>
          <t>Thẩm định Hồ sơ đấu thầu &amp; Mua sắm</t>
        </is>
      </c>
      <c r="G168" s="10" t="inlineStr">
        <is>
          <t>Khẩn cấp (Cao)</t>
        </is>
      </c>
      <c r="H168" s="5" t="inlineStr">
        <is>
          <t>Phần mềm Quản lý (E-Office)</t>
        </is>
      </c>
      <c r="I168" s="12" t="n">
        <v>78</v>
      </c>
      <c r="J168" s="12" t="n">
        <v>67</v>
      </c>
      <c r="K168" s="13">
        <f>J168/I168</f>
        <v/>
      </c>
      <c r="L168" s="12" t="n">
        <v>391500000</v>
      </c>
      <c r="M168" s="12" t="n">
        <v>299000000</v>
      </c>
      <c r="N168" s="13">
        <f>M168/L168</f>
        <v/>
      </c>
      <c r="O168" s="12">
        <f>L168-M168</f>
        <v/>
      </c>
      <c r="P168" s="12" t="n">
        <v>139</v>
      </c>
      <c r="Q168" s="10" t="inlineStr">
        <is>
          <t>Hoàn thành</t>
        </is>
      </c>
      <c r="R168" s="10">
        <f>IF(OR(K168&lt;0.75, N168&gt;1.0, Q168="Quá hạn xử lý"), "Rủi ro Cao (Cần xử lý)", IF(K168&lt;0.88, "Rủi ro Trung bình", "An toàn / Tốt"))</f>
        <v/>
      </c>
    </row>
    <row r="169">
      <c r="A169" s="14" t="inlineStr">
        <is>
          <t>NV-166</t>
        </is>
      </c>
      <c r="B169" s="15" t="n">
        <v>46190</v>
      </c>
      <c r="C169" s="14" t="inlineStr">
        <is>
          <t>Tháng 06/2026</t>
        </is>
      </c>
      <c r="D169" s="16" t="inlineStr">
        <is>
          <t>Phòng Tổ chức - Nhân sự &amp; Đào tạo</t>
        </is>
      </c>
      <c r="E169" s="16" t="inlineStr">
        <is>
          <t>Đỗ Thị Thu Hà</t>
        </is>
      </c>
      <c r="F169" s="16" t="inlineStr">
        <is>
          <t>Thẩm định Hồ sơ đấu thầu &amp; Mua sắm</t>
        </is>
      </c>
      <c r="G169" s="14" t="inlineStr">
        <is>
          <t>Định kỳ (Thấp)</t>
        </is>
      </c>
      <c r="H169" s="16" t="inlineStr">
        <is>
          <t>Phần mềm Quản lý (E-Office)</t>
        </is>
      </c>
      <c r="I169" s="17" t="n">
        <v>59</v>
      </c>
      <c r="J169" s="17" t="n">
        <v>55</v>
      </c>
      <c r="K169" s="18">
        <f>J169/I169</f>
        <v/>
      </c>
      <c r="L169" s="17" t="n">
        <v>82000000</v>
      </c>
      <c r="M169" s="17" t="n">
        <v>67400000</v>
      </c>
      <c r="N169" s="18">
        <f>M169/L169</f>
        <v/>
      </c>
      <c r="O169" s="17">
        <f>L169-M169</f>
        <v/>
      </c>
      <c r="P169" s="17" t="n">
        <v>87</v>
      </c>
      <c r="Q169" s="14" t="inlineStr">
        <is>
          <t>Hoàn thành</t>
        </is>
      </c>
      <c r="R169" s="14">
        <f>IF(OR(K169&lt;0.75, N169&gt;1.0, Q169="Quá hạn xử lý"), "Rủi ro Cao (Cần xử lý)", IF(K169&lt;0.88, "Rủi ro Trung bình", "An toàn / Tốt"))</f>
        <v/>
      </c>
    </row>
    <row r="170">
      <c r="A170" s="10" t="inlineStr">
        <is>
          <t>NV-167</t>
        </is>
      </c>
      <c r="B170" s="11" t="n">
        <v>46113</v>
      </c>
      <c r="C170" s="10" t="inlineStr">
        <is>
          <t>Tháng 04/2026</t>
        </is>
      </c>
      <c r="D170" s="5" t="inlineStr">
        <is>
          <t>Phòng Tổ chức - Nhân sự &amp; Đào tạo</t>
        </is>
      </c>
      <c r="E170" s="5" t="inlineStr">
        <is>
          <t>Đỗ Thị Thu Hà</t>
        </is>
      </c>
      <c r="F170" s="5" t="inlineStr">
        <is>
          <t>Thanh quyết toán &amp; Giải ngân Dự án</t>
        </is>
      </c>
      <c r="G170" s="10" t="inlineStr">
        <is>
          <t>Khẩn cấp (Cao)</t>
        </is>
      </c>
      <c r="H170" s="5" t="inlineStr">
        <is>
          <t>Xử lý Thủ công (Hồ sơ giấy)</t>
        </is>
      </c>
      <c r="I170" s="12" t="n">
        <v>95</v>
      </c>
      <c r="J170" s="12" t="n">
        <v>67</v>
      </c>
      <c r="K170" s="13">
        <f>J170/I170</f>
        <v/>
      </c>
      <c r="L170" s="12" t="n">
        <v>163500000</v>
      </c>
      <c r="M170" s="12" t="n">
        <v>130700000</v>
      </c>
      <c r="N170" s="13">
        <f>M170/L170</f>
        <v/>
      </c>
      <c r="O170" s="12">
        <f>L170-M170</f>
        <v/>
      </c>
      <c r="P170" s="12" t="n">
        <v>348</v>
      </c>
      <c r="Q170" s="10" t="inlineStr">
        <is>
          <t>Hoàn thành</t>
        </is>
      </c>
      <c r="R170" s="10">
        <f>IF(OR(K170&lt;0.75, N170&gt;1.0, Q170="Quá hạn xử lý"), "Rủi ro Cao (Cần xử lý)", IF(K170&lt;0.88, "Rủi ro Trung bình", "An toàn / Tốt"))</f>
        <v/>
      </c>
    </row>
    <row r="171">
      <c r="A171" s="14" t="inlineStr">
        <is>
          <t>NV-168</t>
        </is>
      </c>
      <c r="B171" s="15" t="n">
        <v>46049</v>
      </c>
      <c r="C171" s="14" t="inlineStr">
        <is>
          <t>Tháng 01/2026</t>
        </is>
      </c>
      <c r="D171" s="16" t="inlineStr">
        <is>
          <t>Văn phòng &amp; Hành chính Tổng hợp</t>
        </is>
      </c>
      <c r="E171" s="16" t="inlineStr">
        <is>
          <t>Nguyễn Văn Hùng</t>
        </is>
      </c>
      <c r="F171" s="16" t="inlineStr">
        <is>
          <t>Soạn thảo &amp; Ban hành Văn bản điều hành</t>
        </is>
      </c>
      <c r="G171" s="14" t="inlineStr">
        <is>
          <t>Định kỳ (Thấp)</t>
        </is>
      </c>
      <c r="H171" s="16" t="inlineStr">
        <is>
          <t>Tự động hóa bằng AI Agent</t>
        </is>
      </c>
      <c r="I171" s="17" t="n">
        <v>168</v>
      </c>
      <c r="J171" s="17" t="n">
        <v>146</v>
      </c>
      <c r="K171" s="18">
        <f>J171/I171</f>
        <v/>
      </c>
      <c r="L171" s="17" t="n">
        <v>77500000</v>
      </c>
      <c r="M171" s="17" t="n">
        <v>62600000</v>
      </c>
      <c r="N171" s="18">
        <f>M171/L171</f>
        <v/>
      </c>
      <c r="O171" s="17">
        <f>L171-M171</f>
        <v/>
      </c>
      <c r="P171" s="17" t="n">
        <v>197</v>
      </c>
      <c r="Q171" s="14" t="inlineStr">
        <is>
          <t>Đang thực hiện</t>
        </is>
      </c>
      <c r="R171" s="14">
        <f>IF(OR(K171&lt;0.75, N171&gt;1.0, Q171="Quá hạn xử lý"), "Rủi ro Cao (Cần xử lý)", IF(K171&lt;0.88, "Rủi ro Trung bình", "An toàn / Tốt"))</f>
        <v/>
      </c>
    </row>
    <row r="172">
      <c r="A172" s="10" t="inlineStr">
        <is>
          <t>NV-169</t>
        </is>
      </c>
      <c r="B172" s="11" t="n">
        <v>46025</v>
      </c>
      <c r="C172" s="10" t="inlineStr">
        <is>
          <t>Tháng 01/2026</t>
        </is>
      </c>
      <c r="D172" s="5" t="inlineStr">
        <is>
          <t>Phòng Pháp chế &amp; Kiểm soát nội bộ</t>
        </is>
      </c>
      <c r="E172" s="5" t="inlineStr">
        <is>
          <t>Trương Quang Vinh</t>
        </is>
      </c>
      <c r="F172" s="5" t="inlineStr">
        <is>
          <t>Soạn thảo &amp; Ban hành Văn bản điều hành</t>
        </is>
      </c>
      <c r="G172" s="10" t="inlineStr">
        <is>
          <t>Khẩn cấp (Cao)</t>
        </is>
      </c>
      <c r="H172" s="5" t="inlineStr">
        <is>
          <t>Tự động hóa bằng AI Agent</t>
        </is>
      </c>
      <c r="I172" s="12" t="n">
        <v>94</v>
      </c>
      <c r="J172" s="12" t="n">
        <v>87</v>
      </c>
      <c r="K172" s="13">
        <f>J172/I172</f>
        <v/>
      </c>
      <c r="L172" s="12" t="n">
        <v>86500000</v>
      </c>
      <c r="M172" s="12" t="n">
        <v>62800000</v>
      </c>
      <c r="N172" s="13">
        <f>M172/L172</f>
        <v/>
      </c>
      <c r="O172" s="12">
        <f>L172-M172</f>
        <v/>
      </c>
      <c r="P172" s="12" t="n">
        <v>159</v>
      </c>
      <c r="Q172" s="10" t="inlineStr">
        <is>
          <t>Hoàn thành</t>
        </is>
      </c>
      <c r="R172" s="10">
        <f>IF(OR(K172&lt;0.75, N172&gt;1.0, Q172="Quá hạn xử lý"), "Rủi ro Cao (Cần xử lý)", IF(K172&lt;0.88, "Rủi ro Trung bình", "An toàn / Tốt"))</f>
        <v/>
      </c>
    </row>
    <row r="173">
      <c r="A173" s="14" t="inlineStr">
        <is>
          <t>NV-170</t>
        </is>
      </c>
      <c r="B173" s="15" t="n">
        <v>46104</v>
      </c>
      <c r="C173" s="14" t="inlineStr">
        <is>
          <t>Tháng 03/2026</t>
        </is>
      </c>
      <c r="D173" s="16" t="inlineStr">
        <is>
          <t>Phòng Tổ chức - Nhân sự &amp; Đào tạo</t>
        </is>
      </c>
      <c r="E173" s="16" t="inlineStr">
        <is>
          <t>Đỗ Thị Thu Hà</t>
        </is>
      </c>
      <c r="F173" s="16" t="inlineStr">
        <is>
          <t>Kiểm tra, Rà soát Pháp lý &amp; Tuân thủ</t>
        </is>
      </c>
      <c r="G173" s="14" t="inlineStr">
        <is>
          <t>Khẩn cấp (Cao)</t>
        </is>
      </c>
      <c r="H173" s="16" t="inlineStr">
        <is>
          <t>Xử lý Thủ công (Hồ sơ giấy)</t>
        </is>
      </c>
      <c r="I173" s="17" t="n">
        <v>100</v>
      </c>
      <c r="J173" s="17" t="n">
        <v>55</v>
      </c>
      <c r="K173" s="18">
        <f>J173/I173</f>
        <v/>
      </c>
      <c r="L173" s="17" t="n">
        <v>90500000</v>
      </c>
      <c r="M173" s="17" t="n">
        <v>65700000</v>
      </c>
      <c r="N173" s="18">
        <f>M173/L173</f>
        <v/>
      </c>
      <c r="O173" s="17">
        <f>L173-M173</f>
        <v/>
      </c>
      <c r="P173" s="17" t="n">
        <v>192</v>
      </c>
      <c r="Q173" s="14" t="inlineStr">
        <is>
          <t>Quá hạn xử lý</t>
        </is>
      </c>
      <c r="R173" s="14">
        <f>IF(OR(K173&lt;0.75, N173&gt;1.0, Q173="Quá hạn xử lý"), "Rủi ro Cao (Cần xử lý)", IF(K173&lt;0.88, "Rủi ro Trung bình", "An toàn / Tốt"))</f>
        <v/>
      </c>
    </row>
    <row r="174">
      <c r="A174" s="10" t="inlineStr">
        <is>
          <t>NV-171</t>
        </is>
      </c>
      <c r="B174" s="11" t="n">
        <v>46046</v>
      </c>
      <c r="C174" s="10" t="inlineStr">
        <is>
          <t>Tháng 01/2026</t>
        </is>
      </c>
      <c r="D174" s="5" t="inlineStr">
        <is>
          <t>Phòng Tổ chức - Nhân sự &amp; Đào tạo</t>
        </is>
      </c>
      <c r="E174" s="5" t="inlineStr">
        <is>
          <t>Lý Minh Khôi</t>
        </is>
      </c>
      <c r="F174" s="5" t="inlineStr">
        <is>
          <t>Soạn thảo &amp; Ban hành Văn bản điều hành</t>
        </is>
      </c>
      <c r="G174" s="10" t="inlineStr">
        <is>
          <t>Quan trọng (Trung bình)</t>
        </is>
      </c>
      <c r="H174" s="5" t="inlineStr">
        <is>
          <t>Phần mềm Quản lý (E-Office)</t>
        </is>
      </c>
      <c r="I174" s="12" t="n">
        <v>106</v>
      </c>
      <c r="J174" s="12" t="n">
        <v>100</v>
      </c>
      <c r="K174" s="13">
        <f>J174/I174</f>
        <v/>
      </c>
      <c r="L174" s="12" t="n">
        <v>39000000</v>
      </c>
      <c r="M174" s="12" t="n">
        <v>39000000</v>
      </c>
      <c r="N174" s="13">
        <f>M174/L174</f>
        <v/>
      </c>
      <c r="O174" s="12">
        <f>L174-M174</f>
        <v/>
      </c>
      <c r="P174" s="12" t="n">
        <v>130</v>
      </c>
      <c r="Q174" s="10" t="inlineStr">
        <is>
          <t>Đang thực hiện</t>
        </is>
      </c>
      <c r="R174" s="10">
        <f>IF(OR(K174&lt;0.75, N174&gt;1.0, Q174="Quá hạn xử lý"), "Rủi ro Cao (Cần xử lý)", IF(K174&lt;0.88, "Rủi ro Trung bình", "An toàn / Tốt"))</f>
        <v/>
      </c>
    </row>
    <row r="175">
      <c r="A175" s="14" t="inlineStr">
        <is>
          <t>NV-172</t>
        </is>
      </c>
      <c r="B175" s="15" t="n">
        <v>46153</v>
      </c>
      <c r="C175" s="14" t="inlineStr">
        <is>
          <t>Tháng 05/2026</t>
        </is>
      </c>
      <c r="D175" s="16" t="inlineStr">
        <is>
          <t>Ban Quản lý Dự án Đầu tư &amp; Hạ tầng</t>
        </is>
      </c>
      <c r="E175" s="16" t="inlineStr">
        <is>
          <t>Đinh Quốc Huy</t>
        </is>
      </c>
      <c r="F175" s="16" t="inlineStr">
        <is>
          <t>Triển khai Hạ tầng &amp; Phần mềm AI nội bộ</t>
        </is>
      </c>
      <c r="G175" s="14" t="inlineStr">
        <is>
          <t>Quan trọng (Trung bình)</t>
        </is>
      </c>
      <c r="H175" s="16" t="inlineStr">
        <is>
          <t>Xử lý Thủ công (Hồ sơ giấy)</t>
        </is>
      </c>
      <c r="I175" s="17" t="n">
        <v>25</v>
      </c>
      <c r="J175" s="17" t="n">
        <v>15</v>
      </c>
      <c r="K175" s="18">
        <f>J175/I175</f>
        <v/>
      </c>
      <c r="L175" s="17" t="n">
        <v>474000000</v>
      </c>
      <c r="M175" s="17" t="n">
        <v>493000000</v>
      </c>
      <c r="N175" s="18">
        <f>M175/L175</f>
        <v/>
      </c>
      <c r="O175" s="17">
        <f>L175-M175</f>
        <v/>
      </c>
      <c r="P175" s="17" t="n">
        <v>89</v>
      </c>
      <c r="Q175" s="14" t="inlineStr">
        <is>
          <t>Quá hạn xử lý</t>
        </is>
      </c>
      <c r="R175" s="14">
        <f>IF(OR(K175&lt;0.75, N175&gt;1.0, Q175="Quá hạn xử lý"), "Rủi ro Cao (Cần xử lý)", IF(K175&lt;0.88, "Rủi ro Trung bình", "An toàn / Tốt"))</f>
        <v/>
      </c>
    </row>
    <row r="176">
      <c r="A176" s="10" t="inlineStr">
        <is>
          <t>NV-173</t>
        </is>
      </c>
      <c r="B176" s="11" t="n">
        <v>46130</v>
      </c>
      <c r="C176" s="10" t="inlineStr">
        <is>
          <t>Tháng 04/2026</t>
        </is>
      </c>
      <c r="D176" s="5" t="inlineStr">
        <is>
          <t>Phòng Tổ chức - Nhân sự &amp; Đào tạo</t>
        </is>
      </c>
      <c r="E176" s="5" t="inlineStr">
        <is>
          <t>Lý Minh Khôi</t>
        </is>
      </c>
      <c r="F176" s="5" t="inlineStr">
        <is>
          <t>Kiểm tra, Rà soát Pháp lý &amp; Tuân thủ</t>
        </is>
      </c>
      <c r="G176" s="10" t="inlineStr">
        <is>
          <t>Quan trọng (Trung bình)</t>
        </is>
      </c>
      <c r="H176" s="5" t="inlineStr">
        <is>
          <t>Phần mềm Quản lý (E-Office)</t>
        </is>
      </c>
      <c r="I176" s="12" t="n">
        <v>39</v>
      </c>
      <c r="J176" s="12" t="n">
        <v>32</v>
      </c>
      <c r="K176" s="13">
        <f>J176/I176</f>
        <v/>
      </c>
      <c r="L176" s="12" t="n">
        <v>151500000</v>
      </c>
      <c r="M176" s="12" t="n">
        <v>121600000</v>
      </c>
      <c r="N176" s="13">
        <f>M176/L176</f>
        <v/>
      </c>
      <c r="O176" s="12">
        <f>L176-M176</f>
        <v/>
      </c>
      <c r="P176" s="12" t="n">
        <v>43</v>
      </c>
      <c r="Q176" s="10" t="inlineStr">
        <is>
          <t>Hoàn thành</t>
        </is>
      </c>
      <c r="R176" s="10">
        <f>IF(OR(K176&lt;0.75, N176&gt;1.0, Q176="Quá hạn xử lý"), "Rủi ro Cao (Cần xử lý)", IF(K176&lt;0.88, "Rủi ro Trung bình", "An toàn / Tốt"))</f>
        <v/>
      </c>
    </row>
    <row r="177">
      <c r="A177" s="14" t="inlineStr">
        <is>
          <t>NV-174</t>
        </is>
      </c>
      <c r="B177" s="15" t="n">
        <v>46079</v>
      </c>
      <c r="C177" s="14" t="inlineStr">
        <is>
          <t>Tháng 02/2026</t>
        </is>
      </c>
      <c r="D177" s="16" t="inlineStr">
        <is>
          <t>Phòng Tổ chức - Nhân sự &amp; Đào tạo</t>
        </is>
      </c>
      <c r="E177" s="16" t="inlineStr">
        <is>
          <t>Đỗ Thị Thu Hà</t>
        </is>
      </c>
      <c r="F177" s="16" t="inlineStr">
        <is>
          <t>Tổ chức Hội nghị, Tập huấn &amp; Đào tạo</t>
        </is>
      </c>
      <c r="G177" s="14" t="inlineStr">
        <is>
          <t>Khẩn cấp (Cao)</t>
        </is>
      </c>
      <c r="H177" s="16" t="inlineStr">
        <is>
          <t>Xử lý Thủ công (Hồ sơ giấy)</t>
        </is>
      </c>
      <c r="I177" s="17" t="n">
        <v>46</v>
      </c>
      <c r="J177" s="17" t="n">
        <v>27</v>
      </c>
      <c r="K177" s="18">
        <f>J177/I177</f>
        <v/>
      </c>
      <c r="L177" s="17" t="n">
        <v>95500000</v>
      </c>
      <c r="M177" s="17" t="n">
        <v>69400000</v>
      </c>
      <c r="N177" s="18">
        <f>M177/L177</f>
        <v/>
      </c>
      <c r="O177" s="17">
        <f>L177-M177</f>
        <v/>
      </c>
      <c r="P177" s="17" t="n">
        <v>156</v>
      </c>
      <c r="Q177" s="14" t="inlineStr">
        <is>
          <t>Quá hạn xử lý</t>
        </is>
      </c>
      <c r="R177" s="14">
        <f>IF(OR(K177&lt;0.75, N177&gt;1.0, Q177="Quá hạn xử lý"), "Rủi ro Cao (Cần xử lý)", IF(K177&lt;0.88, "Rủi ro Trung bình", "An toàn / Tốt"))</f>
        <v/>
      </c>
    </row>
    <row r="178">
      <c r="A178" s="10" t="inlineStr">
        <is>
          <t>NV-175</t>
        </is>
      </c>
      <c r="B178" s="11" t="n">
        <v>46185</v>
      </c>
      <c r="C178" s="10" t="inlineStr">
        <is>
          <t>Tháng 06/2026</t>
        </is>
      </c>
      <c r="D178" s="5" t="inlineStr">
        <is>
          <t>Văn phòng &amp; Hành chính Tổng hợp</t>
        </is>
      </c>
      <c r="E178" s="5" t="inlineStr">
        <is>
          <t>Nguyễn Văn Hùng</t>
        </is>
      </c>
      <c r="F178" s="5" t="inlineStr">
        <is>
          <t>Tổ chức Hội nghị, Tập huấn &amp; Đào tạo</t>
        </is>
      </c>
      <c r="G178" s="10" t="inlineStr">
        <is>
          <t>Quan trọng (Trung bình)</t>
        </is>
      </c>
      <c r="H178" s="5" t="inlineStr">
        <is>
          <t>Xử lý Thủ công (Hồ sơ giấy)</t>
        </is>
      </c>
      <c r="I178" s="12" t="n">
        <v>109</v>
      </c>
      <c r="J178" s="12" t="n">
        <v>57</v>
      </c>
      <c r="K178" s="13">
        <f>J178/I178</f>
        <v/>
      </c>
      <c r="L178" s="12" t="n">
        <v>83500000</v>
      </c>
      <c r="M178" s="12" t="n">
        <v>88500000</v>
      </c>
      <c r="N178" s="13">
        <f>M178/L178</f>
        <v/>
      </c>
      <c r="O178" s="12">
        <f>L178-M178</f>
        <v/>
      </c>
      <c r="P178" s="12" t="n">
        <v>235</v>
      </c>
      <c r="Q178" s="10" t="inlineStr">
        <is>
          <t>Quá hạn xử lý</t>
        </is>
      </c>
      <c r="R178" s="10">
        <f>IF(OR(K178&lt;0.75, N178&gt;1.0, Q178="Quá hạn xử lý"), "Rủi ro Cao (Cần xử lý)", IF(K178&lt;0.88, "Rủi ro Trung bình", "An toàn / Tốt"))</f>
        <v/>
      </c>
    </row>
    <row r="179">
      <c r="A179" s="14" t="inlineStr">
        <is>
          <t>NV-176</t>
        </is>
      </c>
      <c r="B179" s="15" t="n">
        <v>46061</v>
      </c>
      <c r="C179" s="14" t="inlineStr">
        <is>
          <t>Tháng 02/2026</t>
        </is>
      </c>
      <c r="D179" s="16" t="inlineStr">
        <is>
          <t>Trung tâm Công nghệ &amp; Chuyển đổi số</t>
        </is>
      </c>
      <c r="E179" s="16" t="inlineStr">
        <is>
          <t>Hoàng Tuấn Anh</t>
        </is>
      </c>
      <c r="F179" s="16" t="inlineStr">
        <is>
          <t>Thẩm định Hồ sơ đấu thầu &amp; Mua sắm</t>
        </is>
      </c>
      <c r="G179" s="14" t="inlineStr">
        <is>
          <t>Định kỳ (Thấp)</t>
        </is>
      </c>
      <c r="H179" s="16" t="inlineStr">
        <is>
          <t>Xử lý Thủ công (Hồ sơ giấy)</t>
        </is>
      </c>
      <c r="I179" s="17" t="n">
        <v>33</v>
      </c>
      <c r="J179" s="17" t="n">
        <v>19</v>
      </c>
      <c r="K179" s="18">
        <f>J179/I179</f>
        <v/>
      </c>
      <c r="L179" s="17" t="n">
        <v>400000000</v>
      </c>
      <c r="M179" s="17" t="n">
        <v>311400000</v>
      </c>
      <c r="N179" s="18">
        <f>M179/L179</f>
        <v/>
      </c>
      <c r="O179" s="17">
        <f>L179-M179</f>
        <v/>
      </c>
      <c r="P179" s="17" t="n">
        <v>61</v>
      </c>
      <c r="Q179" s="14" t="inlineStr">
        <is>
          <t>Quá hạn xử lý</t>
        </is>
      </c>
      <c r="R179" s="14">
        <f>IF(OR(K179&lt;0.75, N179&gt;1.0, Q179="Quá hạn xử lý"), "Rủi ro Cao (Cần xử lý)", IF(K179&lt;0.88, "Rủi ro Trung bình", "An toàn / Tốt"))</f>
        <v/>
      </c>
    </row>
    <row r="180">
      <c r="A180" s="10" t="inlineStr">
        <is>
          <t>NV-177</t>
        </is>
      </c>
      <c r="B180" s="11" t="n">
        <v>46181</v>
      </c>
      <c r="C180" s="10" t="inlineStr">
        <is>
          <t>Tháng 06/2026</t>
        </is>
      </c>
      <c r="D180" s="5" t="inlineStr">
        <is>
          <t>Phòng Kế hoạch - Tài chính</t>
        </is>
      </c>
      <c r="E180" s="5" t="inlineStr">
        <is>
          <t>Phạm Minh Đức</t>
        </is>
      </c>
      <c r="F180" s="5" t="inlineStr">
        <is>
          <t>Thanh quyết toán &amp; Giải ngân Dự án</t>
        </is>
      </c>
      <c r="G180" s="10" t="inlineStr">
        <is>
          <t>Quan trọng (Trung bình)</t>
        </is>
      </c>
      <c r="H180" s="5" t="inlineStr">
        <is>
          <t>Xử lý Thủ công (Hồ sơ giấy)</t>
        </is>
      </c>
      <c r="I180" s="12" t="n">
        <v>92</v>
      </c>
      <c r="J180" s="12" t="n">
        <v>58</v>
      </c>
      <c r="K180" s="13">
        <f>J180/I180</f>
        <v/>
      </c>
      <c r="L180" s="12" t="n">
        <v>140000000</v>
      </c>
      <c r="M180" s="12" t="n">
        <v>146400000</v>
      </c>
      <c r="N180" s="13">
        <f>M180/L180</f>
        <v/>
      </c>
      <c r="O180" s="12">
        <f>L180-M180</f>
        <v/>
      </c>
      <c r="P180" s="12" t="n">
        <v>183</v>
      </c>
      <c r="Q180" s="10" t="inlineStr">
        <is>
          <t>Đang thực hiện</t>
        </is>
      </c>
      <c r="R180" s="10">
        <f>IF(OR(K180&lt;0.75, N180&gt;1.0, Q180="Quá hạn xử lý"), "Rủi ro Cao (Cần xử lý)", IF(K180&lt;0.88, "Rủi ro Trung bình", "An toàn / Tốt"))</f>
        <v/>
      </c>
    </row>
    <row r="181">
      <c r="A181" s="14" t="inlineStr">
        <is>
          <t>NV-178</t>
        </is>
      </c>
      <c r="B181" s="15" t="n">
        <v>46079</v>
      </c>
      <c r="C181" s="14" t="inlineStr">
        <is>
          <t>Tháng 02/2026</t>
        </is>
      </c>
      <c r="D181" s="16" t="inlineStr">
        <is>
          <t>Phòng Tổ chức - Nhân sự &amp; Đào tạo</t>
        </is>
      </c>
      <c r="E181" s="16" t="inlineStr">
        <is>
          <t>Đỗ Thị Thu Hà</t>
        </is>
      </c>
      <c r="F181" s="16" t="inlineStr">
        <is>
          <t>Triển khai Hạ tầng &amp; Phần mềm AI nội bộ</t>
        </is>
      </c>
      <c r="G181" s="14" t="inlineStr">
        <is>
          <t>Quan trọng (Trung bình)</t>
        </is>
      </c>
      <c r="H181" s="16" t="inlineStr">
        <is>
          <t>Phần mềm Quản lý (E-Office)</t>
        </is>
      </c>
      <c r="I181" s="17" t="n">
        <v>63</v>
      </c>
      <c r="J181" s="17" t="n">
        <v>50</v>
      </c>
      <c r="K181" s="18">
        <f>J181/I181</f>
        <v/>
      </c>
      <c r="L181" s="17" t="n">
        <v>161000000</v>
      </c>
      <c r="M181" s="17" t="n">
        <v>158600000</v>
      </c>
      <c r="N181" s="18">
        <f>M181/L181</f>
        <v/>
      </c>
      <c r="O181" s="17">
        <f>L181-M181</f>
        <v/>
      </c>
      <c r="P181" s="17" t="n">
        <v>129</v>
      </c>
      <c r="Q181" s="14" t="inlineStr">
        <is>
          <t>Hoàn thành</t>
        </is>
      </c>
      <c r="R181" s="14">
        <f>IF(OR(K181&lt;0.75, N181&gt;1.0, Q181="Quá hạn xử lý"), "Rủi ro Cao (Cần xử lý)", IF(K181&lt;0.88, "Rủi ro Trung bình", "An toàn / Tốt"))</f>
        <v/>
      </c>
    </row>
    <row r="182">
      <c r="A182" s="10" t="inlineStr">
        <is>
          <t>NV-179</t>
        </is>
      </c>
      <c r="B182" s="11" t="n">
        <v>46093</v>
      </c>
      <c r="C182" s="10" t="inlineStr">
        <is>
          <t>Tháng 03/2026</t>
        </is>
      </c>
      <c r="D182" s="5" t="inlineStr">
        <is>
          <t>Trung tâm Công nghệ &amp; Chuyển đổi số</t>
        </is>
      </c>
      <c r="E182" s="5" t="inlineStr">
        <is>
          <t>Bùi Thanh Tùng</t>
        </is>
      </c>
      <c r="F182" s="5" t="inlineStr">
        <is>
          <t>Triển khai Hạ tầng &amp; Phần mềm AI nội bộ</t>
        </is>
      </c>
      <c r="G182" s="10" t="inlineStr">
        <is>
          <t>Khẩn cấp (Cao)</t>
        </is>
      </c>
      <c r="H182" s="5" t="inlineStr">
        <is>
          <t>Tự động hóa bằng AI Agent</t>
        </is>
      </c>
      <c r="I182" s="12" t="n">
        <v>36</v>
      </c>
      <c r="J182" s="12" t="n">
        <v>30</v>
      </c>
      <c r="K182" s="13">
        <f>J182/I182</f>
        <v/>
      </c>
      <c r="L182" s="12" t="n">
        <v>88500000</v>
      </c>
      <c r="M182" s="12" t="n">
        <v>92000000</v>
      </c>
      <c r="N182" s="13">
        <f>M182/L182</f>
        <v/>
      </c>
      <c r="O182" s="12">
        <f>L182-M182</f>
        <v/>
      </c>
      <c r="P182" s="12" t="n">
        <v>47</v>
      </c>
      <c r="Q182" s="10" t="inlineStr">
        <is>
          <t>Đang thực hiện</t>
        </is>
      </c>
      <c r="R182" s="10">
        <f>IF(OR(K182&lt;0.75, N182&gt;1.0, Q182="Quá hạn xử lý"), "Rủi ro Cao (Cần xử lý)", IF(K182&lt;0.88, "Rủi ro Trung bình", "An toàn / Tốt"))</f>
        <v/>
      </c>
    </row>
    <row r="183">
      <c r="A183" s="14" t="inlineStr">
        <is>
          <t>NV-180</t>
        </is>
      </c>
      <c r="B183" s="15" t="n">
        <v>46136</v>
      </c>
      <c r="C183" s="14" t="inlineStr">
        <is>
          <t>Tháng 04/2026</t>
        </is>
      </c>
      <c r="D183" s="16" t="inlineStr">
        <is>
          <t>Phòng Tổ chức - Nhân sự &amp; Đào tạo</t>
        </is>
      </c>
      <c r="E183" s="16" t="inlineStr">
        <is>
          <t>Đỗ Thị Thu Hà</t>
        </is>
      </c>
      <c r="F183" s="16" t="inlineStr">
        <is>
          <t>Thanh quyết toán &amp; Giải ngân Dự án</t>
        </is>
      </c>
      <c r="G183" s="14" t="inlineStr">
        <is>
          <t>Định kỳ (Thấp)</t>
        </is>
      </c>
      <c r="H183" s="16" t="inlineStr">
        <is>
          <t>Phần mềm Quản lý (E-Office)</t>
        </is>
      </c>
      <c r="I183" s="17" t="n">
        <v>98</v>
      </c>
      <c r="J183" s="17" t="n">
        <v>82</v>
      </c>
      <c r="K183" s="18">
        <f>J183/I183</f>
        <v/>
      </c>
      <c r="L183" s="17" t="n">
        <v>168500000</v>
      </c>
      <c r="M183" s="17" t="n">
        <v>123900000</v>
      </c>
      <c r="N183" s="18">
        <f>M183/L183</f>
        <v/>
      </c>
      <c r="O183" s="17">
        <f>L183-M183</f>
        <v/>
      </c>
      <c r="P183" s="17" t="n">
        <v>173</v>
      </c>
      <c r="Q183" s="14" t="inlineStr">
        <is>
          <t>Tạm dừng chờ duyệt</t>
        </is>
      </c>
      <c r="R183" s="14">
        <f>IF(OR(K183&lt;0.75, N183&gt;1.0, Q183="Quá hạn xử lý"), "Rủi ro Cao (Cần xử lý)", IF(K183&lt;0.88, "Rủi ro Trung bình", "An toàn / Tốt"))</f>
        <v/>
      </c>
    </row>
    <row r="184">
      <c r="A184" s="19" t="inlineStr">
        <is>
          <t>TỔNG CỘNG / TRUNG BÌNH</t>
        </is>
      </c>
      <c r="B184" s="20" t="n"/>
      <c r="C184" s="20" t="n"/>
      <c r="D184" s="20" t="n"/>
      <c r="E184" s="20" t="n"/>
      <c r="F184" s="20" t="n"/>
      <c r="G184" s="20" t="n"/>
      <c r="H184" s="20" t="n"/>
      <c r="I184" s="21">
        <f>SUM(I4:I183)</f>
        <v/>
      </c>
      <c r="J184" s="21">
        <f>SUM(J4:J183)</f>
        <v/>
      </c>
      <c r="K184" s="22">
        <f>J184/I184</f>
        <v/>
      </c>
      <c r="L184" s="21">
        <f>SUM(L4:L183)</f>
        <v/>
      </c>
      <c r="M184" s="21">
        <f>SUM(M4:M183)</f>
        <v/>
      </c>
      <c r="N184" s="22">
        <f>M184/L184</f>
        <v/>
      </c>
      <c r="O184" s="21">
        <f>SUM(O4:O183)</f>
        <v/>
      </c>
      <c r="P184" s="21">
        <f>SUM(P4:P183)</f>
        <v/>
      </c>
      <c r="Q184" s="19">
        <f>COUNTIF(Q4:Q183, "Quá hạn xử lý") &amp; " Quá hạn"</f>
        <v/>
      </c>
      <c r="R184" s="19">
        <f>COUNTIF(R4:R183, "Rủi ro Cao (Cần xử lý)") &amp; " Cảnh báo"</f>
        <v/>
      </c>
    </row>
  </sheetData>
  <autoFilter ref="A3:R183"/>
  <mergeCells count="2">
    <mergeCell ref="A184:H184"/>
    <mergeCell ref="A1:R2"/>
  </mergeCells>
  <conditionalFormatting sqref="R4:R183">
    <cfRule type="cellIs" priority="1" operator="equal" dxfId="1">
      <formula>"Rủi ro Cao (Cần xử lý)"</formula>
    </cfRule>
    <cfRule type="cellIs" priority="2" operator="equal" dxfId="0">
      <formula>"An toàn / Tốt"</formula>
    </cfRule>
    <cfRule type="cellIs" priority="3" operator="equal" dxfId="2">
      <formula>"Rủi ro Trung bình"</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4" customWidth="1" min="1" max="1"/>
    <col width="14" customWidth="1" min="2" max="2"/>
    <col width="34" customWidth="1" min="3" max="3"/>
    <col width="24" customWidth="1" min="4" max="4"/>
    <col width="26" customWidth="1" min="5" max="5"/>
    <col width="28" customWidth="1" min="6" max="6"/>
    <col width="24" customWidth="1" min="7" max="7"/>
  </cols>
  <sheetData>
    <row r="2">
      <c r="B2" s="1" t="inlineStr">
        <is>
          <t>BẢNG THAM CHIẾU ĐỊNH MỨC KPI &amp; NGÂN SÁCH NĂM 2026
(Dùng để Học viên thực hành hàm XLOOKUP / VLOOKUP / SUMIFS khi dựng Dashboard)</t>
        </is>
      </c>
    </row>
    <row r="3"/>
    <row r="5">
      <c r="B5" s="24" t="inlineStr">
        <is>
          <t>BẢNG 1: CHỈ TIÊU KPI ĐA NỀN TẢNG THEO KÊNH PHÁT HÀNH (6 THÁNG ĐẦU NĂM 2026)</t>
        </is>
      </c>
    </row>
    <row r="6">
      <c r="B6" s="25" t="inlineStr">
        <is>
          <t>Mã Kênh</t>
        </is>
      </c>
      <c r="C6" s="25" t="inlineStr">
        <is>
          <t>Nền tảng phát hành</t>
        </is>
      </c>
      <c r="D6" s="25" t="inlineStr">
        <is>
          <t>KPI Lượt xem (Views)</t>
        </is>
      </c>
      <c r="E6" s="25" t="inlineStr">
        <is>
          <t>KPI Doanh thu (VNĐ)</t>
        </is>
      </c>
      <c r="F6" s="25" t="inlineStr">
        <is>
          <t>Định mức Chi phí tối đa (VNĐ)</t>
        </is>
      </c>
      <c r="G6" s="25" t="inlineStr">
        <is>
          <t>Trọng số điểm KPI (%)</t>
        </is>
      </c>
    </row>
    <row r="7">
      <c r="B7" s="10" t="inlineStr">
        <is>
          <t>CH-01</t>
        </is>
      </c>
      <c r="C7" s="5" t="inlineStr">
        <is>
          <t>TikTok</t>
        </is>
      </c>
      <c r="D7" s="12" t="n">
        <v>35000000</v>
      </c>
      <c r="E7" s="12" t="n">
        <v>650000000</v>
      </c>
      <c r="F7" s="12" t="n">
        <v>280000000</v>
      </c>
      <c r="G7" s="26" t="n">
        <v>0.25</v>
      </c>
    </row>
    <row r="8">
      <c r="B8" s="10" t="inlineStr">
        <is>
          <t>CH-02</t>
        </is>
      </c>
      <c r="C8" s="5" t="inlineStr">
        <is>
          <t>YouTube</t>
        </is>
      </c>
      <c r="D8" s="12" t="n">
        <v>28000000</v>
      </c>
      <c r="E8" s="12" t="n">
        <v>1200000000</v>
      </c>
      <c r="F8" s="12" t="n">
        <v>480000000</v>
      </c>
      <c r="G8" s="26" t="n">
        <v>0.35</v>
      </c>
    </row>
    <row r="9">
      <c r="B9" s="10" t="inlineStr">
        <is>
          <t>CH-03</t>
        </is>
      </c>
      <c r="C9" s="5" t="inlineStr">
        <is>
          <t>Báo Điện tử (Web)</t>
        </is>
      </c>
      <c r="D9" s="12" t="n">
        <v>12000000</v>
      </c>
      <c r="E9" s="12" t="n">
        <v>520000000</v>
      </c>
      <c r="F9" s="12" t="n">
        <v>260000000</v>
      </c>
      <c r="G9" s="26" t="n">
        <v>0.2</v>
      </c>
    </row>
    <row r="10">
      <c r="B10" s="10" t="inlineStr">
        <is>
          <t>CH-04</t>
        </is>
      </c>
      <c r="C10" s="5" t="inlineStr">
        <is>
          <t>Facebook Page</t>
        </is>
      </c>
      <c r="D10" s="12" t="n">
        <v>15000000</v>
      </c>
      <c r="E10" s="12" t="n">
        <v>380000000</v>
      </c>
      <c r="F10" s="12" t="n">
        <v>210000000</v>
      </c>
      <c r="G10" s="26" t="n">
        <v>0.12</v>
      </c>
    </row>
    <row r="11">
      <c r="B11" s="10" t="inlineStr">
        <is>
          <t>CH-05</t>
        </is>
      </c>
      <c r="C11" s="5" t="inlineStr">
        <is>
          <t>Podcast / Audio</t>
        </is>
      </c>
      <c r="D11" s="12" t="n">
        <v>2500000</v>
      </c>
      <c r="E11" s="12" t="n">
        <v>150000000</v>
      </c>
      <c r="F11" s="12" t="n">
        <v>90000000</v>
      </c>
      <c r="G11" s="26" t="n">
        <v>0.08</v>
      </c>
    </row>
    <row r="14">
      <c r="B14" s="27" t="inlineStr">
        <is>
          <t>BẢNG 2: ĐỊNH MỨC SLA HÀNH CHÍNH &amp; HẠN MỨC NGÂN SÁCH PHÒNG BAN (6 THÁNG ĐẦU NĂM 2026)</t>
        </is>
      </c>
    </row>
    <row r="15">
      <c r="B15" s="25" t="inlineStr">
        <is>
          <t>Mã Đơn vị</t>
        </is>
      </c>
      <c r="C15" s="25" t="inlineStr">
        <is>
          <t>Phòng ban / Đơn vị chủ trì</t>
        </is>
      </c>
      <c r="D15" s="25" t="inlineStr">
        <is>
          <t>Chỉ tiêu SLA Đúng hạn (%)</t>
        </is>
      </c>
      <c r="E15" s="25" t="inlineStr">
        <is>
          <t>Hạn mức Ngân sách 6T (VNĐ)</t>
        </is>
      </c>
      <c r="F15" s="25" t="inlineStr">
        <is>
          <t>Mục tiêu Tự động hóa AI (%)</t>
        </is>
      </c>
      <c r="G15" s="25" t="inlineStr">
        <is>
          <t>Lãnh đạo phụ trách</t>
        </is>
      </c>
    </row>
    <row r="16">
      <c r="B16" s="10" t="inlineStr">
        <is>
          <t>DV-01</t>
        </is>
      </c>
      <c r="C16" s="5" t="inlineStr">
        <is>
          <t>Văn phòng &amp; Hành chính Tổng hợp</t>
        </is>
      </c>
      <c r="D16" s="26" t="n">
        <v>0.9</v>
      </c>
      <c r="E16" s="12" t="n">
        <v>2200000000</v>
      </c>
      <c r="F16" s="26" t="n">
        <v>0.6</v>
      </c>
      <c r="G16" s="10" t="inlineStr">
        <is>
          <t>PGĐ Nội chính</t>
        </is>
      </c>
    </row>
    <row r="17">
      <c r="B17" s="10" t="inlineStr">
        <is>
          <t>DV-02</t>
        </is>
      </c>
      <c r="C17" s="5" t="inlineStr">
        <is>
          <t>Phòng Kế hoạch - Tài chính</t>
        </is>
      </c>
      <c r="D17" s="26" t="n">
        <v>0.95</v>
      </c>
      <c r="E17" s="12" t="n">
        <v>5800000000</v>
      </c>
      <c r="F17" s="26" t="n">
        <v>0.7</v>
      </c>
      <c r="G17" s="10" t="inlineStr">
        <is>
          <t>Kế toán trưởng</t>
        </is>
      </c>
    </row>
    <row r="18">
      <c r="B18" s="10" t="inlineStr">
        <is>
          <t>DV-03</t>
        </is>
      </c>
      <c r="C18" s="5" t="inlineStr">
        <is>
          <t>Trung tâm Công nghệ &amp; Chuyển đổi số</t>
        </is>
      </c>
      <c r="D18" s="26" t="n">
        <v>0.92</v>
      </c>
      <c r="E18" s="12" t="n">
        <v>9500000000</v>
      </c>
      <c r="F18" s="26" t="n">
        <v>0.85</v>
      </c>
      <c r="G18" s="10" t="inlineStr">
        <is>
          <t>Giám đốc CNTT (CIO)</t>
        </is>
      </c>
    </row>
    <row r="19">
      <c r="B19" s="10" t="inlineStr">
        <is>
          <t>DV-04</t>
        </is>
      </c>
      <c r="C19" s="5" t="inlineStr">
        <is>
          <t>Phòng Tổ chức - Nhân sự &amp; Đào tạo</t>
        </is>
      </c>
      <c r="D19" s="26" t="n">
        <v>0.9</v>
      </c>
      <c r="E19" s="12" t="n">
        <v>2600000000</v>
      </c>
      <c r="F19" s="26" t="n">
        <v>0.55</v>
      </c>
      <c r="G19" s="10" t="inlineStr">
        <is>
          <t>Trưởng ban Nhân sự</t>
        </is>
      </c>
    </row>
    <row r="20">
      <c r="B20" s="10" t="inlineStr">
        <is>
          <t>DV-05</t>
        </is>
      </c>
      <c r="C20" s="5" t="inlineStr">
        <is>
          <t>Phòng Pháp chế &amp; Kiểm soát nội bộ</t>
        </is>
      </c>
      <c r="D20" s="26" t="n">
        <v>0.96</v>
      </c>
      <c r="E20" s="12" t="n">
        <v>2400000000</v>
      </c>
      <c r="F20" s="26" t="n">
        <v>0.65</v>
      </c>
      <c r="G20" s="10" t="inlineStr">
        <is>
          <t>Trưởng ban Pháp chế</t>
        </is>
      </c>
    </row>
    <row r="21">
      <c r="B21" s="10" t="inlineStr">
        <is>
          <t>DV-06</t>
        </is>
      </c>
      <c r="C21" s="5" t="inlineStr">
        <is>
          <t>Ban Quản lý Dự án Đầu tư &amp; Hạ tầng</t>
        </is>
      </c>
      <c r="D21" s="26" t="n">
        <v>0.88</v>
      </c>
      <c r="E21" s="12" t="n">
        <v>11500000000</v>
      </c>
      <c r="F21" s="26" t="n">
        <v>0.5</v>
      </c>
      <c r="G21" s="10" t="inlineStr">
        <is>
          <t>Giám đốc Dự án</t>
        </is>
      </c>
    </row>
  </sheetData>
  <mergeCells count="3">
    <mergeCell ref="B5:G5"/>
    <mergeCell ref="B14:G14"/>
    <mergeCell ref="B2:G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M25"/>
  <sheetViews>
    <sheetView showGridLines="0" workbookViewId="0">
      <selection activeCell="A1" sqref="A1"/>
    </sheetView>
  </sheetViews>
  <sheetFormatPr baseColWidth="8" defaultRowHeight="15"/>
  <cols>
    <col width="3" customWidth="1" min="1" max="1"/>
    <col width="24" customWidth="1" min="2" max="2"/>
    <col width="14" customWidth="1" min="3" max="3"/>
    <col width="18" customWidth="1" min="4" max="4"/>
    <col width="18" customWidth="1" min="5" max="5"/>
    <col width="18" customWidth="1" min="6" max="6"/>
    <col width="18" customWidth="1" min="7" max="7"/>
    <col width="4" customWidth="1" min="8" max="8"/>
    <col width="16" customWidth="1" min="9" max="9"/>
    <col width="18" customWidth="1" min="10" max="10"/>
    <col width="20" customWidth="1" min="11" max="11"/>
    <col width="22" customWidth="1" min="12" max="12"/>
    <col width="18" customWidth="1" min="13" max="13"/>
  </cols>
  <sheetData>
    <row r="2" ht="22" customHeight="1">
      <c r="B2" s="1" t="inlineStr">
        <is>
          <t>EXECUTIVE DASHBOARD MẪU (BÀI GIẢI THAM KHẢO DÀNH CHO GIẢNG VIÊN &amp; HỌC VIÊN ĐỐI CHIẾU)
Tổng hợp tự động bằng công thức động từ Sheet 2 (Đa nền tảng) &amp; Sheet 3 (Hành chính - Dự án)</t>
        </is>
      </c>
    </row>
    <row r="3" ht="22" customHeight="1"/>
    <row r="5">
      <c r="B5" s="28" t="inlineStr">
        <is>
          <t>Bộ lọc Nền tảng (Thử nghiệm):</t>
        </is>
      </c>
      <c r="C5" s="29" t="inlineStr">
        <is>
          <t>YouTube</t>
        </is>
      </c>
      <c r="D5" s="30" t="inlineStr">
        <is>
          <t>Lượt xem Kênh chọn:</t>
        </is>
      </c>
      <c r="E5" s="31">
        <f>SUMIFS('2_DATA_DA_NEN_TANG'!K4:K503, '2_DATA_DA_NEN_TANG'!G4:G503, C5)</f>
        <v/>
      </c>
      <c r="F5" s="30" t="inlineStr">
        <is>
          <t>Doanh thu Kênh chọn:</t>
        </is>
      </c>
      <c r="G5" s="31">
        <f>SUMIFS('2_DATA_DA_NEN_TANG'!Q4:Q503, '2_DATA_DA_NEN_TANG'!G4:G503, C5)</f>
        <v/>
      </c>
    </row>
    <row r="7" ht="20" customHeight="1">
      <c r="B7" s="32" t="inlineStr">
        <is>
          <t>TỔNG LƯỢT XEM (6 THÁNG)</t>
        </is>
      </c>
      <c r="C7" s="6" t="n"/>
      <c r="E7" s="33" t="inlineStr">
        <is>
          <t>TỔNG DOANH THU QC (VNĐ)</t>
        </is>
      </c>
      <c r="F7" s="6" t="n"/>
      <c r="H7" s="34" t="inlineStr">
        <is>
          <t>TỶ SUẤT LỢI NHUẬN (ROI %)</t>
        </is>
      </c>
      <c r="I7" s="6" t="n"/>
      <c r="K7" s="32" t="inlineStr">
        <is>
          <t>TỶ LỆ HỒ SƠ ĐÚNG HẠN (SLA)</t>
        </is>
      </c>
      <c r="L7" s="6" t="n"/>
    </row>
    <row r="8" ht="30" customHeight="1">
      <c r="B8" s="35">
        <f>'2_DATA_DA_NEN_TANG'!K504</f>
        <v/>
      </c>
      <c r="C8" s="6" t="n"/>
      <c r="E8" s="35">
        <f>'2_DATA_DA_NEN_TANG'!Q504</f>
        <v/>
      </c>
      <c r="F8" s="6" t="n"/>
      <c r="H8" s="36">
        <f>'2_DATA_DA_NEN_TANG'!S504</f>
        <v/>
      </c>
      <c r="I8" s="6" t="n"/>
      <c r="K8" s="36">
        <f>'3_DATA_HANH_CHINH_DU_AN'!K184</f>
        <v/>
      </c>
      <c r="L8" s="6" t="n"/>
    </row>
    <row r="11">
      <c r="B11" s="37" t="inlineStr">
        <is>
          <t>1. BẢNG TỔNG HỢP HIỆU SUẤT THEO NỀN TẢNG PHÁT HÀNH (DÙNG ĐỂ VẼ BIỂU ĐỒ)</t>
        </is>
      </c>
      <c r="I11" s="38" t="inlineStr">
        <is>
          <t>2. XU HƯỚNG THEO THÁNG (ĐA NỀN TẢNG &amp; GIẢI NGÂN HÀNH CHÍNH)</t>
        </is>
      </c>
    </row>
    <row r="12">
      <c r="B12" s="9" t="inlineStr">
        <is>
          <t>Nền tảng</t>
        </is>
      </c>
      <c r="C12" s="9" t="inlineStr">
        <is>
          <t>Số SP</t>
        </is>
      </c>
      <c r="D12" s="9" t="inlineStr">
        <is>
          <t>Tổng Lượt xem</t>
        </is>
      </c>
      <c r="E12" s="9" t="inlineStr">
        <is>
          <t>Chi phí SX (VNĐ)</t>
        </is>
      </c>
      <c r="F12" s="9" t="inlineStr">
        <is>
          <t>Doanh thu (VNĐ)</t>
        </is>
      </c>
      <c r="G12" s="9" t="inlineStr">
        <is>
          <t>Lợi nhuận (VNĐ)</t>
        </is>
      </c>
      <c r="I12" s="9" t="inlineStr">
        <is>
          <t>Tháng</t>
        </is>
      </c>
      <c r="J12" s="9" t="inlineStr">
        <is>
          <t>Lượt xem (Views)</t>
        </is>
      </c>
      <c r="K12" s="9" t="inlineStr">
        <is>
          <t>Doanh thu QC (VNĐ)</t>
        </is>
      </c>
      <c r="L12" s="9" t="inlineStr">
        <is>
          <t>Giải ngân Dự án (VNĐ)</t>
        </is>
      </c>
      <c r="M12" s="9" t="inlineStr">
        <is>
          <t>Tỷ lệ Đúng hạn SLA</t>
        </is>
      </c>
    </row>
    <row r="13">
      <c r="B13" s="39" t="inlineStr">
        <is>
          <t>TikTok</t>
        </is>
      </c>
      <c r="C13" s="12">
        <f>COUNTIF('2_DATA_DA_NEN_TANG'!$G$4:$G$503, B13)</f>
        <v/>
      </c>
      <c r="D13" s="12">
        <f>SUMIFS('2_DATA_DA_NEN_TANG'!$K$4:$K$503, '2_DATA_DA_NEN_TANG'!$G$4:$G$503, B13)</f>
        <v/>
      </c>
      <c r="E13" s="12">
        <f>SUMIFS('2_DATA_DA_NEN_TANG'!$P$4:$P$503, '2_DATA_DA_NEN_TANG'!$G$4:$G$503, B13)</f>
        <v/>
      </c>
      <c r="F13" s="12">
        <f>SUMIFS('2_DATA_DA_NEN_TANG'!$Q$4:$Q$503, '2_DATA_DA_NEN_TANG'!$G$4:$G$503, B13)</f>
        <v/>
      </c>
      <c r="G13" s="12">
        <f>F13-E13</f>
        <v/>
      </c>
      <c r="I13" s="40" t="inlineStr">
        <is>
          <t>Tháng 01/2026</t>
        </is>
      </c>
      <c r="J13" s="12">
        <f>SUMIFS('2_DATA_DA_NEN_TANG'!$K$4:$K$503, '2_DATA_DA_NEN_TANG'!$C$4:$C$503, I13)</f>
        <v/>
      </c>
      <c r="K13" s="12">
        <f>SUMIFS('2_DATA_DA_NEN_TANG'!$Q$4:$Q$503, '2_DATA_DA_NEN_TANG'!$C$4:$C$503, I13)</f>
        <v/>
      </c>
      <c r="L13" s="12">
        <f>SUMIFS('3_DATA_HANH_CHINH_DU_AN'!$M$4:$M$183, '3_DATA_HANH_CHINH_DU_AN'!$C$4:$C$183, I13)</f>
        <v/>
      </c>
      <c r="M13" s="13">
        <f>AVERAGEIFS('3_DATA_HANH_CHINH_DU_AN'!$K$4:$K$183, '3_DATA_HANH_CHINH_DU_AN'!$C$4:$C$183, I13)</f>
        <v/>
      </c>
    </row>
    <row r="14">
      <c r="B14" s="39" t="inlineStr">
        <is>
          <t>YouTube</t>
        </is>
      </c>
      <c r="C14" s="12">
        <f>COUNTIF('2_DATA_DA_NEN_TANG'!$G$4:$G$503, B14)</f>
        <v/>
      </c>
      <c r="D14" s="12">
        <f>SUMIFS('2_DATA_DA_NEN_TANG'!$K$4:$K$503, '2_DATA_DA_NEN_TANG'!$G$4:$G$503, B14)</f>
        <v/>
      </c>
      <c r="E14" s="12">
        <f>SUMIFS('2_DATA_DA_NEN_TANG'!$P$4:$P$503, '2_DATA_DA_NEN_TANG'!$G$4:$G$503, B14)</f>
        <v/>
      </c>
      <c r="F14" s="12">
        <f>SUMIFS('2_DATA_DA_NEN_TANG'!$Q$4:$Q$503, '2_DATA_DA_NEN_TANG'!$G$4:$G$503, B14)</f>
        <v/>
      </c>
      <c r="G14" s="12">
        <f>F14-E14</f>
        <v/>
      </c>
      <c r="I14" s="40" t="inlineStr">
        <is>
          <t>Tháng 02/2026</t>
        </is>
      </c>
      <c r="J14" s="12">
        <f>SUMIFS('2_DATA_DA_NEN_TANG'!$K$4:$K$503, '2_DATA_DA_NEN_TANG'!$C$4:$C$503, I14)</f>
        <v/>
      </c>
      <c r="K14" s="12">
        <f>SUMIFS('2_DATA_DA_NEN_TANG'!$Q$4:$Q$503, '2_DATA_DA_NEN_TANG'!$C$4:$C$503, I14)</f>
        <v/>
      </c>
      <c r="L14" s="12">
        <f>SUMIFS('3_DATA_HANH_CHINH_DU_AN'!$M$4:$M$183, '3_DATA_HANH_CHINH_DU_AN'!$C$4:$C$183, I14)</f>
        <v/>
      </c>
      <c r="M14" s="13">
        <f>AVERAGEIFS('3_DATA_HANH_CHINH_DU_AN'!$K$4:$K$183, '3_DATA_HANH_CHINH_DU_AN'!$C$4:$C$183, I14)</f>
        <v/>
      </c>
    </row>
    <row r="15">
      <c r="B15" s="39" t="inlineStr">
        <is>
          <t>Báo Điện tử (Web)</t>
        </is>
      </c>
      <c r="C15" s="12">
        <f>COUNTIF('2_DATA_DA_NEN_TANG'!$G$4:$G$503, B15)</f>
        <v/>
      </c>
      <c r="D15" s="12">
        <f>SUMIFS('2_DATA_DA_NEN_TANG'!$K$4:$K$503, '2_DATA_DA_NEN_TANG'!$G$4:$G$503, B15)</f>
        <v/>
      </c>
      <c r="E15" s="12">
        <f>SUMIFS('2_DATA_DA_NEN_TANG'!$P$4:$P$503, '2_DATA_DA_NEN_TANG'!$G$4:$G$503, B15)</f>
        <v/>
      </c>
      <c r="F15" s="12">
        <f>SUMIFS('2_DATA_DA_NEN_TANG'!$Q$4:$Q$503, '2_DATA_DA_NEN_TANG'!$G$4:$G$503, B15)</f>
        <v/>
      </c>
      <c r="G15" s="12">
        <f>F15-E15</f>
        <v/>
      </c>
      <c r="I15" s="40" t="inlineStr">
        <is>
          <t>Tháng 03/2026</t>
        </is>
      </c>
      <c r="J15" s="12">
        <f>SUMIFS('2_DATA_DA_NEN_TANG'!$K$4:$K$503, '2_DATA_DA_NEN_TANG'!$C$4:$C$503, I15)</f>
        <v/>
      </c>
      <c r="K15" s="12">
        <f>SUMIFS('2_DATA_DA_NEN_TANG'!$Q$4:$Q$503, '2_DATA_DA_NEN_TANG'!$C$4:$C$503, I15)</f>
        <v/>
      </c>
      <c r="L15" s="12">
        <f>SUMIFS('3_DATA_HANH_CHINH_DU_AN'!$M$4:$M$183, '3_DATA_HANH_CHINH_DU_AN'!$C$4:$C$183, I15)</f>
        <v/>
      </c>
      <c r="M15" s="13">
        <f>AVERAGEIFS('3_DATA_HANH_CHINH_DU_AN'!$K$4:$K$183, '3_DATA_HANH_CHINH_DU_AN'!$C$4:$C$183, I15)</f>
        <v/>
      </c>
    </row>
    <row r="16">
      <c r="B16" s="39" t="inlineStr">
        <is>
          <t>Facebook Page</t>
        </is>
      </c>
      <c r="C16" s="12">
        <f>COUNTIF('2_DATA_DA_NEN_TANG'!$G$4:$G$503, B16)</f>
        <v/>
      </c>
      <c r="D16" s="12">
        <f>SUMIFS('2_DATA_DA_NEN_TANG'!$K$4:$K$503, '2_DATA_DA_NEN_TANG'!$G$4:$G$503, B16)</f>
        <v/>
      </c>
      <c r="E16" s="12">
        <f>SUMIFS('2_DATA_DA_NEN_TANG'!$P$4:$P$503, '2_DATA_DA_NEN_TANG'!$G$4:$G$503, B16)</f>
        <v/>
      </c>
      <c r="F16" s="12">
        <f>SUMIFS('2_DATA_DA_NEN_TANG'!$Q$4:$Q$503, '2_DATA_DA_NEN_TANG'!$G$4:$G$503, B16)</f>
        <v/>
      </c>
      <c r="G16" s="12">
        <f>F16-E16</f>
        <v/>
      </c>
      <c r="I16" s="40" t="inlineStr">
        <is>
          <t>Tháng 04/2026</t>
        </is>
      </c>
      <c r="J16" s="12">
        <f>SUMIFS('2_DATA_DA_NEN_TANG'!$K$4:$K$503, '2_DATA_DA_NEN_TANG'!$C$4:$C$503, I16)</f>
        <v/>
      </c>
      <c r="K16" s="12">
        <f>SUMIFS('2_DATA_DA_NEN_TANG'!$Q$4:$Q$503, '2_DATA_DA_NEN_TANG'!$C$4:$C$503, I16)</f>
        <v/>
      </c>
      <c r="L16" s="12">
        <f>SUMIFS('3_DATA_HANH_CHINH_DU_AN'!$M$4:$M$183, '3_DATA_HANH_CHINH_DU_AN'!$C$4:$C$183, I16)</f>
        <v/>
      </c>
      <c r="M16" s="13">
        <f>AVERAGEIFS('3_DATA_HANH_CHINH_DU_AN'!$K$4:$K$183, '3_DATA_HANH_CHINH_DU_AN'!$C$4:$C$183, I16)</f>
        <v/>
      </c>
    </row>
    <row r="17">
      <c r="B17" s="39" t="inlineStr">
        <is>
          <t>Podcast / Audio</t>
        </is>
      </c>
      <c r="C17" s="12">
        <f>COUNTIF('2_DATA_DA_NEN_TANG'!$G$4:$G$503, B17)</f>
        <v/>
      </c>
      <c r="D17" s="12">
        <f>SUMIFS('2_DATA_DA_NEN_TANG'!$K$4:$K$503, '2_DATA_DA_NEN_TANG'!$G$4:$G$503, B17)</f>
        <v/>
      </c>
      <c r="E17" s="12">
        <f>SUMIFS('2_DATA_DA_NEN_TANG'!$P$4:$P$503, '2_DATA_DA_NEN_TANG'!$G$4:$G$503, B17)</f>
        <v/>
      </c>
      <c r="F17" s="12">
        <f>SUMIFS('2_DATA_DA_NEN_TANG'!$Q$4:$Q$503, '2_DATA_DA_NEN_TANG'!$G$4:$G$503, B17)</f>
        <v/>
      </c>
      <c r="G17" s="12">
        <f>F17-E17</f>
        <v/>
      </c>
      <c r="I17" s="40" t="inlineStr">
        <is>
          <t>Tháng 05/2026</t>
        </is>
      </c>
      <c r="J17" s="12">
        <f>SUMIFS('2_DATA_DA_NEN_TANG'!$K$4:$K$503, '2_DATA_DA_NEN_TANG'!$C$4:$C$503, I17)</f>
        <v/>
      </c>
      <c r="K17" s="12">
        <f>SUMIFS('2_DATA_DA_NEN_TANG'!$Q$4:$Q$503, '2_DATA_DA_NEN_TANG'!$C$4:$C$503, I17)</f>
        <v/>
      </c>
      <c r="L17" s="12">
        <f>SUMIFS('3_DATA_HANH_CHINH_DU_AN'!$M$4:$M$183, '3_DATA_HANH_CHINH_DU_AN'!$C$4:$C$183, I17)</f>
        <v/>
      </c>
      <c r="M17" s="13">
        <f>AVERAGEIFS('3_DATA_HANH_CHINH_DU_AN'!$K$4:$K$183, '3_DATA_HANH_CHINH_DU_AN'!$C$4:$C$183, I17)</f>
        <v/>
      </c>
    </row>
    <row r="18">
      <c r="I18" s="40" t="inlineStr">
        <is>
          <t>Tháng 06/2026</t>
        </is>
      </c>
      <c r="J18" s="12">
        <f>SUMIFS('2_DATA_DA_NEN_TANG'!$K$4:$K$503, '2_DATA_DA_NEN_TANG'!$C$4:$C$503, I18)</f>
        <v/>
      </c>
      <c r="K18" s="12">
        <f>SUMIFS('2_DATA_DA_NEN_TANG'!$Q$4:$Q$503, '2_DATA_DA_NEN_TANG'!$C$4:$C$503, I18)</f>
        <v/>
      </c>
      <c r="L18" s="12">
        <f>SUMIFS('3_DATA_HANH_CHINH_DU_AN'!$M$4:$M$183, '3_DATA_HANH_CHINH_DU_AN'!$C$4:$C$183, I18)</f>
        <v/>
      </c>
      <c r="M18" s="13">
        <f>AVERAGEIFS('3_DATA_HANH_CHINH_DU_AN'!$K$4:$K$183, '3_DATA_HANH_CHINH_DU_AN'!$C$4:$C$183, I18)</f>
        <v/>
      </c>
    </row>
    <row r="20">
      <c r="B20" s="37" t="inlineStr">
        <is>
          <t>3. PHÂN TÍCH HIỆU QUẢ ỨNG DỤNG AI TRONG SẢN XUẤT NỘI DUNG &amp; HÀNH CHÍNH</t>
        </is>
      </c>
    </row>
    <row r="21">
      <c r="B21" s="9" t="inlineStr">
        <is>
          <t>Mức độ ứng dụng AI</t>
        </is>
      </c>
      <c r="C21" s="9" t="inlineStr">
        <is>
          <t>Số lượng SP</t>
        </is>
      </c>
      <c r="D21" s="9" t="inlineStr">
        <is>
          <t>Chi phí SX Trung bình</t>
        </is>
      </c>
      <c r="E21" s="9" t="inlineStr">
        <is>
          <t>Retention TB (%)</t>
        </is>
      </c>
      <c r="F21" s="9" t="inlineStr">
        <is>
          <t>Doanh thu TB (VNĐ)</t>
        </is>
      </c>
      <c r="G21" s="9" t="inlineStr">
        <is>
          <t>Hiệu quả ROI</t>
        </is>
      </c>
    </row>
    <row r="22">
      <c r="B22" s="39" t="inlineStr">
        <is>
          <t>Toàn trình (70%)</t>
        </is>
      </c>
      <c r="C22" s="12">
        <f>COUNTIF('2_DATA_DA_NEN_TANG'!$J$4:$J$503, B22)</f>
        <v/>
      </c>
      <c r="D22" s="12">
        <f>AVERAGEIFS('2_DATA_DA_NEN_TANG'!$P$4:$P$503, '2_DATA_DA_NEN_TANG'!$J$4:$J$503, B22)</f>
        <v/>
      </c>
      <c r="E22" s="13">
        <f>AVERAGEIFS('2_DATA_DA_NEN_TANG'!$O$4:$O$503, '2_DATA_DA_NEN_TANG'!$J$4:$J$503, B22)</f>
        <v/>
      </c>
      <c r="F22" s="12">
        <f>AVERAGEIFS('2_DATA_DA_NEN_TANG'!$Q$4:$Q$503, '2_DATA_DA_NEN_TANG'!$J$4:$J$503, B22)</f>
        <v/>
      </c>
      <c r="G22" s="13">
        <f>(F22-D22)/D22</f>
        <v/>
      </c>
    </row>
    <row r="23">
      <c r="B23" s="39" t="inlineStr">
        <is>
          <t>Hỗ trợ sâu (40%)</t>
        </is>
      </c>
      <c r="C23" s="12">
        <f>COUNTIF('2_DATA_DA_NEN_TANG'!$J$4:$J$503, B23)</f>
        <v/>
      </c>
      <c r="D23" s="12">
        <f>AVERAGEIFS('2_DATA_DA_NEN_TANG'!$P$4:$P$503, '2_DATA_DA_NEN_TANG'!$J$4:$J$503, B23)</f>
        <v/>
      </c>
      <c r="E23" s="13">
        <f>AVERAGEIFS('2_DATA_DA_NEN_TANG'!$O$4:$O$503, '2_DATA_DA_NEN_TANG'!$J$4:$J$503, B23)</f>
        <v/>
      </c>
      <c r="F23" s="12">
        <f>AVERAGEIFS('2_DATA_DA_NEN_TANG'!$Q$4:$Q$503, '2_DATA_DA_NEN_TANG'!$J$4:$J$503, B23)</f>
        <v/>
      </c>
      <c r="G23" s="13">
        <f>(F23-D23)/D23</f>
        <v/>
      </c>
    </row>
    <row r="24">
      <c r="B24" s="39" t="inlineStr">
        <is>
          <t>Cơ bản (15%)</t>
        </is>
      </c>
      <c r="C24" s="12">
        <f>COUNTIF('2_DATA_DA_NEN_TANG'!$J$4:$J$503, B24)</f>
        <v/>
      </c>
      <c r="D24" s="12">
        <f>AVERAGEIFS('2_DATA_DA_NEN_TANG'!$P$4:$P$503, '2_DATA_DA_NEN_TANG'!$J$4:$J$503, B24)</f>
        <v/>
      </c>
      <c r="E24" s="13">
        <f>AVERAGEIFS('2_DATA_DA_NEN_TANG'!$O$4:$O$503, '2_DATA_DA_NEN_TANG'!$J$4:$J$503, B24)</f>
        <v/>
      </c>
      <c r="F24" s="12">
        <f>AVERAGEIFS('2_DATA_DA_NEN_TANG'!$Q$4:$Q$503, '2_DATA_DA_NEN_TANG'!$J$4:$J$503, B24)</f>
        <v/>
      </c>
      <c r="G24" s="13">
        <f>(F24-D24)/D24</f>
        <v/>
      </c>
    </row>
    <row r="25">
      <c r="B25" s="39" t="inlineStr">
        <is>
          <t>Thủ công (0%)</t>
        </is>
      </c>
      <c r="C25" s="12">
        <f>COUNTIF('2_DATA_DA_NEN_TANG'!$J$4:$J$503, B25)</f>
        <v/>
      </c>
      <c r="D25" s="12">
        <f>AVERAGEIFS('2_DATA_DA_NEN_TANG'!$P$4:$P$503, '2_DATA_DA_NEN_TANG'!$J$4:$J$503, B25)</f>
        <v/>
      </c>
      <c r="E25" s="13">
        <f>AVERAGEIFS('2_DATA_DA_NEN_TANG'!$O$4:$O$503, '2_DATA_DA_NEN_TANG'!$J$4:$J$503, B25)</f>
        <v/>
      </c>
      <c r="F25" s="12">
        <f>AVERAGEIFS('2_DATA_DA_NEN_TANG'!$Q$4:$Q$503, '2_DATA_DA_NEN_TANG'!$J$4:$J$503, B25)</f>
        <v/>
      </c>
      <c r="G25" s="13">
        <f>(F25-D25)/D25</f>
        <v/>
      </c>
    </row>
  </sheetData>
  <mergeCells count="12">
    <mergeCell ref="B20:G20"/>
    <mergeCell ref="K7:L7"/>
    <mergeCell ref="B2:M3"/>
    <mergeCell ref="B7:C7"/>
    <mergeCell ref="E7:F7"/>
    <mergeCell ref="K8:L8"/>
    <mergeCell ref="H7:I7"/>
    <mergeCell ref="I11:M11"/>
    <mergeCell ref="H8:I8"/>
    <mergeCell ref="B8:C8"/>
    <mergeCell ref="E8:F8"/>
    <mergeCell ref="B11:G11"/>
  </mergeCells>
  <dataValidations count="1">
    <dataValidation sqref="C5" showDropDown="0" showInputMessage="0" showErrorMessage="0" allowBlank="0" type="list">
      <formula1>"TikTok,YouTube,Báo Điện tử (Web),Facebook Page,Podcast / Audio"</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2026-10-23T02:48:20Z</dcterms:created>
  <dcterms:modified xmlns:dcterms="http://purl.org/dc/terms/" xmlns:xsi="http://www.w3.org/2001/XMLSchema-instance" xsi:type="dcterms:W3CDTF">2026-10-23T02:48:21Z</dcterms:modified>
</cp:coreProperties>
</file>